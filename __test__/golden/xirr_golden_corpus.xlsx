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ows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<sst xmlns="http://schemas.openxmlformats.org/spreadsheetml/2006/main" count="592" uniqueCount="111">
  <si>
    <t xml:space="preserve">xirr-rs golden-value corpus</t>
  </si>
  <si>
    <t xml:space="preserve">HOW TO REGENERATE GOLDEN VALUES FROM A REAL SPREADSHEET ENGINE</t>
  </si>
  <si>
    <t xml:space="preserve">1. Open this workbook in Excel, Google Sheets, or LibreOffice Calc.</t>
  </si>
  <si>
    <t xml:space="preserve">2. Let it recalculate. The 'results' sheet column D computes XIRR() natively.</t>
  </si>
  <si>
    <t xml:space="preserve">3. Copy 'results' columns A and D into golden_&lt;engine&gt;.csv (case_id,expected).</t>
  </si>
  <si>
    <t xml:space="preserve">4. A cell showing the numeric-error marker means the engine could not solve it; record NUM.</t>
  </si>
  <si>
    <t xml:space="preserve">Column D formula:  =IFERROR(XIRR(amount_range, date_range), "NUM")</t>
  </si>
  <si>
    <t xml:space="preserve">Guess is left at the engine default of 10%, matching production callers.</t>
  </si>
  <si>
    <t xml:space="preserve">Cash flows live on the 'flows' sheet in long format, one row per payment,</t>
  </si>
  <si>
    <t xml:space="preserve">grouped by case_id and already in the exact input order the library receives.</t>
  </si>
  <si>
    <t xml:space="preserve">Input order is significant: XIRR uses the FIRST row of each block as the</t>
  </si>
  <si>
    <t xml:space="preserve">reference date, not the earliest date.</t>
  </si>
  <si>
    <t xml:space="preserve">Deterministic seed: 20260803</t>
  </si>
  <si>
    <t xml:space="preserve">Cases: 89</t>
  </si>
  <si>
    <t xml:space="preserve">case_id</t>
  </si>
  <si>
    <t xml:space="preserve">date</t>
  </si>
  <si>
    <t xml:space="preserve">amount</t>
  </si>
  <si>
    <t xml:space="preserve">conventional/textbook-3flow</t>
  </si>
  <si>
    <t xml:space="preserve">conventional/one-year-30pct</t>
  </si>
  <si>
    <t xml:space="preserve">conventional/monthly-12</t>
  </si>
  <si>
    <t xml:space="preserve">conventional/quarterly-drawdown</t>
  </si>
  <si>
    <t xml:space="preserve">conventional/leap-year-span</t>
  </si>
  <si>
    <t xml:space="preserve">horizon/30y-50x</t>
  </si>
  <si>
    <t xml:space="preserve">horizon/50y-50x</t>
  </si>
  <si>
    <t xml:space="preserve">horizon/5-day-10pct</t>
  </si>
  <si>
    <t xml:space="preserve">horizon/1-day</t>
  </si>
  <si>
    <t xml:space="preserve">horizon/tiny-basis-10y</t>
  </si>
  <si>
    <t xml:space="preserve">rate/near-zero-positive</t>
  </si>
  <si>
    <t xml:space="preserve">rate/exact-zero</t>
  </si>
  <si>
    <t xml:space="preserve">rate/near-zero-negative</t>
  </si>
  <si>
    <t xml:space="preserve">rate/near-total-loss</t>
  </si>
  <si>
    <t xml:space="preserve">rate/deep-negative</t>
  </si>
  <si>
    <t xml:space="preserve">multiroot/classic-100-230-132</t>
  </si>
  <si>
    <t xml:space="preserve">multiroot/sign-reversal-monthly</t>
  </si>
  <si>
    <t xml:space="preserve">multiroot/three-roots</t>
  </si>
  <si>
    <t xml:space="preserve">multiroot/pe-recall</t>
  </si>
  <si>
    <t xml:space="preserve">multiroot/five-flips</t>
  </si>
  <si>
    <t xml:space="preserve">multiroot/capital-call-mid</t>
  </si>
  <si>
    <t xml:space="preserve">scale/1e0-conventional</t>
  </si>
  <si>
    <t xml:space="preserve">scale/1e0-multiroot</t>
  </si>
  <si>
    <t xml:space="preserve">scale/1e3-conventional</t>
  </si>
  <si>
    <t xml:space="preserve">scale/1e3-multiroot</t>
  </si>
  <si>
    <t xml:space="preserve">scale/1e6-conventional</t>
  </si>
  <si>
    <t xml:space="preserve">scale/1e6-multiroot</t>
  </si>
  <si>
    <t xml:space="preserve">scale/1e9-conventional</t>
  </si>
  <si>
    <t xml:space="preserve">scale/1e9-multiroot</t>
  </si>
  <si>
    <t xml:space="preserve">scale/1e12-conventional</t>
  </si>
  <si>
    <t xml:space="preserve">scale/1e12-multiroot</t>
  </si>
  <si>
    <t xml:space="preserve">scale/sub-cent</t>
  </si>
  <si>
    <t xml:space="preserve">edge/zero-amounts-interleaved</t>
  </si>
  <si>
    <t xml:space="preserve">edge/duplicate-dates</t>
  </si>
  <si>
    <t xml:space="preserve">edge/many-flows-60</t>
  </si>
  <si>
    <t xml:space="preserve">edge/trailing-zero</t>
  </si>
  <si>
    <t xml:space="preserve">nosolution/lease-tail</t>
  </si>
  <si>
    <t xml:space="preserve">nosolution/all-tiny-outflow</t>
  </si>
  <si>
    <t xml:space="preserve">fuzz/000</t>
  </si>
  <si>
    <t xml:space="preserve">fuzz/001</t>
  </si>
  <si>
    <t xml:space="preserve">fuzz/002</t>
  </si>
  <si>
    <t xml:space="preserve">fuzz/003</t>
  </si>
  <si>
    <t xml:space="preserve">fuzz/004</t>
  </si>
  <si>
    <t xml:space="preserve">fuzz/005</t>
  </si>
  <si>
    <t xml:space="preserve">fuzz/006</t>
  </si>
  <si>
    <t xml:space="preserve">fuzz/008</t>
  </si>
  <si>
    <t xml:space="preserve">fuzz/010</t>
  </si>
  <si>
    <t xml:space="preserve">fuzz/011</t>
  </si>
  <si>
    <t xml:space="preserve">fuzz/012</t>
  </si>
  <si>
    <t xml:space="preserve">fuzz/013</t>
  </si>
  <si>
    <t xml:space="preserve">fuzz/014</t>
  </si>
  <si>
    <t xml:space="preserve">fuzz/015</t>
  </si>
  <si>
    <t xml:space="preserve">fuzz/016</t>
  </si>
  <si>
    <t xml:space="preserve">fuzz/017</t>
  </si>
  <si>
    <t xml:space="preserve">fuzz/018</t>
  </si>
  <si>
    <t xml:space="preserve">fuzz/019</t>
  </si>
  <si>
    <t xml:space="preserve">fuzz/021</t>
  </si>
  <si>
    <t xml:space="preserve">fuzz/024</t>
  </si>
  <si>
    <t xml:space="preserve">fuzz/025</t>
  </si>
  <si>
    <t xml:space="preserve">fuzz/026</t>
  </si>
  <si>
    <t xml:space="preserve">fuzz/027</t>
  </si>
  <si>
    <t xml:space="preserve">fuzz/028</t>
  </si>
  <si>
    <t xml:space="preserve">fuzz/029</t>
  </si>
  <si>
    <t xml:space="preserve">fuzz/030</t>
  </si>
  <si>
    <t xml:space="preserve">fuzz/031</t>
  </si>
  <si>
    <t xml:space="preserve">fuzz/032</t>
  </si>
  <si>
    <t xml:space="preserve">fuzz/033</t>
  </si>
  <si>
    <t xml:space="preserve">fuzz/034</t>
  </si>
  <si>
    <t xml:space="preserve">fuzz/035</t>
  </si>
  <si>
    <t xml:space="preserve">fuzz/036</t>
  </si>
  <si>
    <t xml:space="preserve">fuzz/037</t>
  </si>
  <si>
    <t xml:space="preserve">fuzz/038</t>
  </si>
  <si>
    <t xml:space="preserve">fuzz/039</t>
  </si>
  <si>
    <t xml:space="preserve">fuzz/040</t>
  </si>
  <si>
    <t xml:space="preserve">fuzz/041</t>
  </si>
  <si>
    <t xml:space="preserve">fuzz/042</t>
  </si>
  <si>
    <t xml:space="preserve">fuzz/043</t>
  </si>
  <si>
    <t xml:space="preserve">fuzz/045</t>
  </si>
  <si>
    <t xml:space="preserve">fuzz/047</t>
  </si>
  <si>
    <t xml:space="preserve">fuzz/048</t>
  </si>
  <si>
    <t xml:space="preserve">fuzz/049</t>
  </si>
  <si>
    <t xml:space="preserve">fuzz/050</t>
  </si>
  <si>
    <t xml:space="preserve">fuzz/051</t>
  </si>
  <si>
    <t xml:space="preserve">fuzz/052</t>
  </si>
  <si>
    <t xml:space="preserve">fuzz/053</t>
  </si>
  <si>
    <t xml:space="preserve">fuzz/054</t>
  </si>
  <si>
    <t xml:space="preserve">fuzz/056</t>
  </si>
  <si>
    <t xml:space="preserve">fuzz/057</t>
  </si>
  <si>
    <t xml:space="preserve">fuzz/058</t>
  </si>
  <si>
    <t xml:space="preserve">n_flows</t>
  </si>
  <si>
    <t xml:space="preserve">sign_changes</t>
  </si>
  <si>
    <t xml:space="preserve">xirr</t>
  </si>
  <si>
    <t xml:space="preserve">xnpv_at_xirr</t>
  </si>
  <si>
    <t xml:space="preserve">xirr uses the engine default guess (10%). NUM = the engine reported a numeric error (no solution found).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</si>
</sst>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0000000000"/>
    <numFmt numFmtId="167" formatCode="0.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</row>
    <row r="2" customFormat="false" ht="15" hidden="false" customHeight="false" outlineLevel="0" collapsed="false">
      <c r="A2" s="2" t="s">
        <v>17</v>
      </c>
      <c r="B2" s="4" t="n">
        <v>43831</v>
      </c>
      <c r="C2" s="5" t="n">
        <v>-1000</v>
      </c>
    </row>
    <row r="3" customFormat="false" ht="15" hidden="false" customHeight="false" outlineLevel="0" collapsed="false">
      <c r="A3" s="2" t="s">
        <v>17</v>
      </c>
      <c r="B3" s="4" t="n">
        <v>44197</v>
      </c>
      <c r="C3" s="5" t="n">
        <v>750</v>
      </c>
    </row>
    <row r="4" customFormat="false" ht="15" hidden="false" customHeight="false" outlineLevel="0" collapsed="false">
      <c r="A4" s="2" t="s">
        <v>17</v>
      </c>
      <c r="B4" s="4" t="n">
        <v>44562</v>
      </c>
      <c r="C4" s="5" t="n">
        <v>500</v>
      </c>
    </row>
    <row r="5" customFormat="false" ht="15" hidden="false" customHeight="false" outlineLevel="0" collapsed="false">
      <c r="A5" s="2" t="s">
        <v>18</v>
      </c>
      <c r="B5" s="4" t="n">
        <v>43831</v>
      </c>
      <c r="C5" s="5" t="n">
        <v>-100</v>
      </c>
    </row>
    <row r="6" customFormat="false" ht="15" hidden="false" customHeight="false" outlineLevel="0" collapsed="false">
      <c r="A6" s="2" t="s">
        <v>18</v>
      </c>
      <c r="B6" s="4" t="n">
        <v>44197</v>
      </c>
      <c r="C6" s="5" t="n">
        <v>130</v>
      </c>
    </row>
    <row r="7" customFormat="false" ht="15" hidden="false" customHeight="false" outlineLevel="0" collapsed="false">
      <c r="A7" s="2" t="s">
        <v>19</v>
      </c>
      <c r="B7" s="4" t="n">
        <v>44197</v>
      </c>
      <c r="C7" s="5" t="n">
        <v>-100</v>
      </c>
    </row>
    <row r="8" customFormat="false" ht="15" hidden="false" customHeight="false" outlineLevel="0" collapsed="false">
      <c r="A8" s="2" t="s">
        <v>19</v>
      </c>
      <c r="B8" s="4" t="n">
        <v>44228</v>
      </c>
      <c r="C8" s="5" t="n">
        <v>20</v>
      </c>
    </row>
    <row r="9" customFormat="false" ht="15" hidden="false" customHeight="false" outlineLevel="0" collapsed="false">
      <c r="A9" s="2" t="s">
        <v>19</v>
      </c>
      <c r="B9" s="4" t="n">
        <v>44256</v>
      </c>
      <c r="C9" s="5" t="n">
        <v>20</v>
      </c>
    </row>
    <row r="10" customFormat="false" ht="15" hidden="false" customHeight="false" outlineLevel="0" collapsed="false">
      <c r="A10" s="2" t="s">
        <v>19</v>
      </c>
      <c r="B10" s="4" t="n">
        <v>44287</v>
      </c>
      <c r="C10" s="5" t="n">
        <v>20</v>
      </c>
    </row>
    <row r="11" customFormat="false" ht="15" hidden="false" customHeight="false" outlineLevel="0" collapsed="false">
      <c r="A11" s="2" t="s">
        <v>19</v>
      </c>
      <c r="B11" s="4" t="n">
        <v>44317</v>
      </c>
      <c r="C11" s="5" t="n">
        <v>20</v>
      </c>
    </row>
    <row r="12" customFormat="false" ht="15" hidden="false" customHeight="false" outlineLevel="0" collapsed="false">
      <c r="A12" s="2" t="s">
        <v>19</v>
      </c>
      <c r="B12" s="4" t="n">
        <v>44348</v>
      </c>
      <c r="C12" s="5" t="n">
        <v>20</v>
      </c>
    </row>
    <row r="13" customFormat="false" ht="15" hidden="false" customHeight="false" outlineLevel="0" collapsed="false">
      <c r="A13" s="2" t="s">
        <v>19</v>
      </c>
      <c r="B13" s="4" t="n">
        <v>44378</v>
      </c>
      <c r="C13" s="5" t="n">
        <v>20</v>
      </c>
    </row>
    <row r="14" customFormat="false" ht="15" hidden="false" customHeight="false" outlineLevel="0" collapsed="false">
      <c r="A14" s="2" t="s">
        <v>19</v>
      </c>
      <c r="B14" s="4" t="n">
        <v>44409</v>
      </c>
      <c r="C14" s="5" t="n">
        <v>20</v>
      </c>
    </row>
    <row r="15" customFormat="false" ht="15" hidden="false" customHeight="false" outlineLevel="0" collapsed="false">
      <c r="A15" s="2" t="s">
        <v>19</v>
      </c>
      <c r="B15" s="4" t="n">
        <v>44440</v>
      </c>
      <c r="C15" s="5" t="n">
        <v>20</v>
      </c>
    </row>
    <row r="16" customFormat="false" ht="15" hidden="false" customHeight="false" outlineLevel="0" collapsed="false">
      <c r="A16" s="2" t="s">
        <v>19</v>
      </c>
      <c r="B16" s="4" t="n">
        <v>44470</v>
      </c>
      <c r="C16" s="5" t="n">
        <v>20</v>
      </c>
    </row>
    <row r="17" customFormat="false" ht="15" hidden="false" customHeight="false" outlineLevel="0" collapsed="false">
      <c r="A17" s="2" t="s">
        <v>19</v>
      </c>
      <c r="B17" s="4" t="n">
        <v>44501</v>
      </c>
      <c r="C17" s="5" t="n">
        <v>20</v>
      </c>
    </row>
    <row r="18" customFormat="false" ht="15" hidden="false" customHeight="false" outlineLevel="0" collapsed="false">
      <c r="A18" s="2" t="s">
        <v>19</v>
      </c>
      <c r="B18" s="4" t="n">
        <v>44531</v>
      </c>
      <c r="C18" s="5" t="n">
        <v>20</v>
      </c>
    </row>
    <row r="19" customFormat="false" ht="15" hidden="false" customHeight="false" outlineLevel="0" collapsed="false">
      <c r="A19" s="2" t="s">
        <v>20</v>
      </c>
      <c r="B19" s="4" t="n">
        <v>43466</v>
      </c>
      <c r="C19" s="5" t="n">
        <v>-5000</v>
      </c>
    </row>
    <row r="20" customFormat="false" ht="15" hidden="false" customHeight="false" outlineLevel="0" collapsed="false">
      <c r="A20" s="2" t="s">
        <v>20</v>
      </c>
      <c r="B20" s="4" t="n">
        <v>43556</v>
      </c>
      <c r="C20" s="5" t="n">
        <v>-3000</v>
      </c>
    </row>
    <row r="21" customFormat="false" ht="15" hidden="false" customHeight="false" outlineLevel="0" collapsed="false">
      <c r="A21" s="2" t="s">
        <v>20</v>
      </c>
      <c r="B21" s="4" t="n">
        <v>43647</v>
      </c>
      <c r="C21" s="5" t="n">
        <v>-2000</v>
      </c>
    </row>
    <row r="22" customFormat="false" ht="15" hidden="false" customHeight="false" outlineLevel="0" collapsed="false">
      <c r="A22" s="2" t="s">
        <v>20</v>
      </c>
      <c r="B22" s="4" t="n">
        <v>43831</v>
      </c>
      <c r="C22" s="5" t="n">
        <v>1500</v>
      </c>
    </row>
    <row r="23" customFormat="false" ht="15" hidden="false" customHeight="false" outlineLevel="0" collapsed="false">
      <c r="A23" s="2" t="s">
        <v>20</v>
      </c>
      <c r="B23" s="4" t="n">
        <v>44197</v>
      </c>
      <c r="C23" s="5" t="n">
        <v>4000</v>
      </c>
    </row>
    <row r="24" customFormat="false" ht="15" hidden="false" customHeight="false" outlineLevel="0" collapsed="false">
      <c r="A24" s="2" t="s">
        <v>20</v>
      </c>
      <c r="B24" s="4" t="n">
        <v>44562</v>
      </c>
      <c r="C24" s="5" t="n">
        <v>6500</v>
      </c>
    </row>
    <row r="25" customFormat="false" ht="15" hidden="false" customHeight="false" outlineLevel="0" collapsed="false">
      <c r="A25" s="2" t="s">
        <v>21</v>
      </c>
      <c r="B25" s="4" t="n">
        <v>43830</v>
      </c>
      <c r="C25" s="5" t="n">
        <v>-1000</v>
      </c>
    </row>
    <row r="26" customFormat="false" ht="15" hidden="false" customHeight="false" outlineLevel="0" collapsed="false">
      <c r="A26" s="2" t="s">
        <v>21</v>
      </c>
      <c r="B26" s="4" t="n">
        <v>44196</v>
      </c>
      <c r="C26" s="5" t="n">
        <v>1150</v>
      </c>
    </row>
    <row r="27" customFormat="false" ht="15" hidden="false" customHeight="false" outlineLevel="0" collapsed="false">
      <c r="A27" s="2" t="s">
        <v>22</v>
      </c>
      <c r="B27" s="4" t="n">
        <v>32874</v>
      </c>
      <c r="C27" s="5" t="n">
        <v>-1000</v>
      </c>
    </row>
    <row r="28" customFormat="false" ht="15" hidden="false" customHeight="false" outlineLevel="0" collapsed="false">
      <c r="A28" s="2" t="s">
        <v>22</v>
      </c>
      <c r="B28" s="4" t="n">
        <v>43831</v>
      </c>
      <c r="C28" s="5" t="n">
        <v>50000</v>
      </c>
    </row>
    <row r="29" customFormat="false" ht="15" hidden="false" customHeight="false" outlineLevel="0" collapsed="false">
      <c r="A29" s="2" t="s">
        <v>23</v>
      </c>
      <c r="B29" s="4" t="n">
        <v>27395</v>
      </c>
      <c r="C29" s="5" t="n">
        <v>-1000</v>
      </c>
    </row>
    <row r="30" customFormat="false" ht="15" hidden="false" customHeight="false" outlineLevel="0" collapsed="false">
      <c r="A30" s="2" t="s">
        <v>23</v>
      </c>
      <c r="B30" s="4" t="n">
        <v>45658</v>
      </c>
      <c r="C30" s="5" t="n">
        <v>50000</v>
      </c>
    </row>
    <row r="31" customFormat="false" ht="15" hidden="false" customHeight="false" outlineLevel="0" collapsed="false">
      <c r="A31" s="2" t="s">
        <v>24</v>
      </c>
      <c r="B31" s="4" t="n">
        <v>43831</v>
      </c>
      <c r="C31" s="5" t="n">
        <v>-1000</v>
      </c>
    </row>
    <row r="32" customFormat="false" ht="15" hidden="false" customHeight="false" outlineLevel="0" collapsed="false">
      <c r="A32" s="2" t="s">
        <v>24</v>
      </c>
      <c r="B32" s="4" t="n">
        <v>43836</v>
      </c>
      <c r="C32" s="5" t="n">
        <v>1100</v>
      </c>
    </row>
    <row r="33" customFormat="false" ht="15" hidden="false" customHeight="false" outlineLevel="0" collapsed="false">
      <c r="A33" s="2" t="s">
        <v>25</v>
      </c>
      <c r="B33" s="4" t="n">
        <v>43831</v>
      </c>
      <c r="C33" s="5" t="n">
        <v>-1000</v>
      </c>
    </row>
    <row r="34" customFormat="false" ht="15" hidden="false" customHeight="false" outlineLevel="0" collapsed="false">
      <c r="A34" s="2" t="s">
        <v>25</v>
      </c>
      <c r="B34" s="4" t="n">
        <v>43832</v>
      </c>
      <c r="C34" s="5" t="n">
        <v>1001</v>
      </c>
    </row>
    <row r="35" customFormat="false" ht="15" hidden="false" customHeight="false" outlineLevel="0" collapsed="false">
      <c r="A35" s="2" t="s">
        <v>26</v>
      </c>
      <c r="B35" s="4" t="n">
        <v>43831</v>
      </c>
      <c r="C35" s="5" t="n">
        <v>-1</v>
      </c>
    </row>
    <row r="36" customFormat="false" ht="15" hidden="false" customHeight="false" outlineLevel="0" collapsed="false">
      <c r="A36" s="2" t="s">
        <v>26</v>
      </c>
      <c r="B36" s="4" t="n">
        <v>43832</v>
      </c>
      <c r="C36" s="5" t="n">
        <v>-1</v>
      </c>
    </row>
    <row r="37" customFormat="false" ht="15" hidden="false" customHeight="false" outlineLevel="0" collapsed="false">
      <c r="A37" s="2" t="s">
        <v>26</v>
      </c>
      <c r="B37" s="4" t="n">
        <v>47484</v>
      </c>
      <c r="C37" s="5" t="n">
        <v>1000000</v>
      </c>
    </row>
    <row r="38" customFormat="false" ht="15" hidden="false" customHeight="false" outlineLevel="0" collapsed="false">
      <c r="A38" s="2" t="s">
        <v>27</v>
      </c>
      <c r="B38" s="4" t="n">
        <v>43831</v>
      </c>
      <c r="C38" s="5" t="n">
        <v>-1000</v>
      </c>
    </row>
    <row r="39" customFormat="false" ht="15" hidden="false" customHeight="false" outlineLevel="0" collapsed="false">
      <c r="A39" s="2" t="s">
        <v>27</v>
      </c>
      <c r="B39" s="4" t="n">
        <v>44197</v>
      </c>
      <c r="C39" s="5" t="n">
        <v>1000.0001</v>
      </c>
    </row>
    <row r="40" customFormat="false" ht="15" hidden="false" customHeight="false" outlineLevel="0" collapsed="false">
      <c r="A40" s="2" t="s">
        <v>28</v>
      </c>
      <c r="B40" s="4" t="n">
        <v>43831</v>
      </c>
      <c r="C40" s="5" t="n">
        <v>-1000</v>
      </c>
    </row>
    <row r="41" customFormat="false" ht="15" hidden="false" customHeight="false" outlineLevel="0" collapsed="false">
      <c r="A41" s="2" t="s">
        <v>28</v>
      </c>
      <c r="B41" s="4" t="n">
        <v>44197</v>
      </c>
      <c r="C41" s="5" t="n">
        <v>1000</v>
      </c>
    </row>
    <row r="42" customFormat="false" ht="15" hidden="false" customHeight="false" outlineLevel="0" collapsed="false">
      <c r="A42" s="2" t="s">
        <v>29</v>
      </c>
      <c r="B42" s="4" t="n">
        <v>43831</v>
      </c>
      <c r="C42" s="5" t="n">
        <v>-1000</v>
      </c>
    </row>
    <row r="43" customFormat="false" ht="15" hidden="false" customHeight="false" outlineLevel="0" collapsed="false">
      <c r="A43" s="2" t="s">
        <v>29</v>
      </c>
      <c r="B43" s="4" t="n">
        <v>44197</v>
      </c>
      <c r="C43" s="5" t="n">
        <v>999.9999</v>
      </c>
    </row>
    <row r="44" customFormat="false" ht="15" hidden="false" customHeight="false" outlineLevel="0" collapsed="false">
      <c r="A44" s="2" t="s">
        <v>30</v>
      </c>
      <c r="B44" s="4" t="n">
        <v>43831</v>
      </c>
      <c r="C44" s="5" t="n">
        <v>-1000</v>
      </c>
    </row>
    <row r="45" customFormat="false" ht="15" hidden="false" customHeight="false" outlineLevel="0" collapsed="false">
      <c r="A45" s="2" t="s">
        <v>30</v>
      </c>
      <c r="B45" s="4" t="n">
        <v>44197</v>
      </c>
      <c r="C45" s="5" t="n">
        <v>1</v>
      </c>
    </row>
    <row r="46" customFormat="false" ht="15" hidden="false" customHeight="false" outlineLevel="0" collapsed="false">
      <c r="A46" s="2" t="s">
        <v>31</v>
      </c>
      <c r="B46" s="4" t="n">
        <v>43831</v>
      </c>
      <c r="C46" s="5" t="n">
        <v>-10000</v>
      </c>
    </row>
    <row r="47" customFormat="false" ht="15" hidden="false" customHeight="false" outlineLevel="0" collapsed="false">
      <c r="A47" s="2" t="s">
        <v>31</v>
      </c>
      <c r="B47" s="4" t="n">
        <v>44197</v>
      </c>
      <c r="C47" s="5" t="n">
        <v>500</v>
      </c>
    </row>
    <row r="48" customFormat="false" ht="15" hidden="false" customHeight="false" outlineLevel="0" collapsed="false">
      <c r="A48" s="2" t="s">
        <v>31</v>
      </c>
      <c r="B48" s="4" t="n">
        <v>44562</v>
      </c>
      <c r="C48" s="5" t="n">
        <v>250</v>
      </c>
    </row>
    <row r="49" customFormat="false" ht="15" hidden="false" customHeight="false" outlineLevel="0" collapsed="false">
      <c r="A49" s="2" t="s">
        <v>32</v>
      </c>
      <c r="B49" s="4" t="n">
        <v>43831</v>
      </c>
      <c r="C49" s="5" t="n">
        <v>-100</v>
      </c>
    </row>
    <row r="50" customFormat="false" ht="15" hidden="false" customHeight="false" outlineLevel="0" collapsed="false">
      <c r="A50" s="2" t="s">
        <v>32</v>
      </c>
      <c r="B50" s="4" t="n">
        <v>44197</v>
      </c>
      <c r="C50" s="5" t="n">
        <v>230</v>
      </c>
    </row>
    <row r="51" customFormat="false" ht="15" hidden="false" customHeight="false" outlineLevel="0" collapsed="false">
      <c r="A51" s="2" t="s">
        <v>32</v>
      </c>
      <c r="B51" s="4" t="n">
        <v>44562</v>
      </c>
      <c r="C51" s="5" t="n">
        <v>-132</v>
      </c>
    </row>
    <row r="52" customFormat="false" ht="15" hidden="false" customHeight="false" outlineLevel="0" collapsed="false">
      <c r="A52" s="2" t="s">
        <v>33</v>
      </c>
      <c r="B52" s="4" t="n">
        <v>43831</v>
      </c>
      <c r="C52" s="5" t="n">
        <v>-100</v>
      </c>
    </row>
    <row r="53" customFormat="false" ht="15" hidden="false" customHeight="false" outlineLevel="0" collapsed="false">
      <c r="A53" s="2" t="s">
        <v>33</v>
      </c>
      <c r="B53" s="4" t="n">
        <v>43862</v>
      </c>
      <c r="C53" s="5" t="n">
        <v>10000</v>
      </c>
    </row>
    <row r="54" customFormat="false" ht="15" hidden="false" customHeight="false" outlineLevel="0" collapsed="false">
      <c r="A54" s="2" t="s">
        <v>33</v>
      </c>
      <c r="B54" s="4" t="n">
        <v>43891</v>
      </c>
      <c r="C54" s="5" t="n">
        <v>-9000</v>
      </c>
    </row>
    <row r="55" customFormat="false" ht="15" hidden="false" customHeight="false" outlineLevel="0" collapsed="false">
      <c r="A55" s="2" t="s">
        <v>34</v>
      </c>
      <c r="B55" s="4" t="n">
        <v>42005</v>
      </c>
      <c r="C55" s="5" t="n">
        <v>-1000</v>
      </c>
    </row>
    <row r="56" customFormat="false" ht="15" hidden="false" customHeight="false" outlineLevel="0" collapsed="false">
      <c r="A56" s="2" t="s">
        <v>34</v>
      </c>
      <c r="B56" s="4" t="n">
        <v>42370</v>
      </c>
      <c r="C56" s="5" t="n">
        <v>3000</v>
      </c>
    </row>
    <row r="57" customFormat="false" ht="15" hidden="false" customHeight="false" outlineLevel="0" collapsed="false">
      <c r="A57" s="2" t="s">
        <v>34</v>
      </c>
      <c r="B57" s="4" t="n">
        <v>42736</v>
      </c>
      <c r="C57" s="5" t="n">
        <v>-2500</v>
      </c>
    </row>
    <row r="58" customFormat="false" ht="15" hidden="false" customHeight="false" outlineLevel="0" collapsed="false">
      <c r="A58" s="2" t="s">
        <v>34</v>
      </c>
      <c r="B58" s="4" t="n">
        <v>43101</v>
      </c>
      <c r="C58" s="5" t="n">
        <v>600</v>
      </c>
    </row>
    <row r="59" customFormat="false" ht="15" hidden="false" customHeight="false" outlineLevel="0" collapsed="false">
      <c r="A59" s="2" t="s">
        <v>35</v>
      </c>
      <c r="B59" s="4" t="n">
        <v>43101</v>
      </c>
      <c r="C59" s="5" t="n">
        <v>-1000</v>
      </c>
    </row>
    <row r="60" customFormat="false" ht="15" hidden="false" customHeight="false" outlineLevel="0" collapsed="false">
      <c r="A60" s="2" t="s">
        <v>35</v>
      </c>
      <c r="B60" s="4" t="n">
        <v>43466</v>
      </c>
      <c r="C60" s="5" t="n">
        <v>5000</v>
      </c>
    </row>
    <row r="61" customFormat="false" ht="15" hidden="false" customHeight="false" outlineLevel="0" collapsed="false">
      <c r="A61" s="2" t="s">
        <v>35</v>
      </c>
      <c r="B61" s="4" t="n">
        <v>43831</v>
      </c>
      <c r="C61" s="5" t="n">
        <v>-6000</v>
      </c>
    </row>
    <row r="62" customFormat="false" ht="15" hidden="false" customHeight="false" outlineLevel="0" collapsed="false">
      <c r="A62" s="2" t="s">
        <v>35</v>
      </c>
      <c r="B62" s="4" t="n">
        <v>44197</v>
      </c>
      <c r="C62" s="5" t="n">
        <v>2500</v>
      </c>
    </row>
    <row r="63" customFormat="false" ht="15" hidden="false" customHeight="false" outlineLevel="0" collapsed="false">
      <c r="A63" s="2" t="s">
        <v>36</v>
      </c>
      <c r="B63" s="4" t="n">
        <v>43831</v>
      </c>
      <c r="C63" s="5" t="n">
        <v>-500</v>
      </c>
    </row>
    <row r="64" customFormat="false" ht="15" hidden="false" customHeight="false" outlineLevel="0" collapsed="false">
      <c r="A64" s="2" t="s">
        <v>36</v>
      </c>
      <c r="B64" s="4" t="n">
        <v>44013</v>
      </c>
      <c r="C64" s="5" t="n">
        <v>3000</v>
      </c>
    </row>
    <row r="65" customFormat="false" ht="15" hidden="false" customHeight="false" outlineLevel="0" collapsed="false">
      <c r="A65" s="2" t="s">
        <v>36</v>
      </c>
      <c r="B65" s="4" t="n">
        <v>44197</v>
      </c>
      <c r="C65" s="5" t="n">
        <v>-5000</v>
      </c>
    </row>
    <row r="66" customFormat="false" ht="15" hidden="false" customHeight="false" outlineLevel="0" collapsed="false">
      <c r="A66" s="2" t="s">
        <v>36</v>
      </c>
      <c r="B66" s="4" t="n">
        <v>44378</v>
      </c>
      <c r="C66" s="5" t="n">
        <v>3000</v>
      </c>
    </row>
    <row r="67" customFormat="false" ht="15" hidden="false" customHeight="false" outlineLevel="0" collapsed="false">
      <c r="A67" s="2" t="s">
        <v>36</v>
      </c>
      <c r="B67" s="4" t="n">
        <v>44562</v>
      </c>
      <c r="C67" s="5" t="n">
        <v>-400</v>
      </c>
    </row>
    <row r="68" customFormat="false" ht="15" hidden="false" customHeight="false" outlineLevel="0" collapsed="false">
      <c r="A68" s="2" t="s">
        <v>37</v>
      </c>
      <c r="B68" s="4" t="n">
        <v>42809</v>
      </c>
      <c r="C68" s="5" t="n">
        <v>-2500</v>
      </c>
    </row>
    <row r="69" customFormat="false" ht="15" hidden="false" customHeight="false" outlineLevel="0" collapsed="false">
      <c r="A69" s="2" t="s">
        <v>37</v>
      </c>
      <c r="B69" s="4" t="n">
        <v>43281</v>
      </c>
      <c r="C69" s="5" t="n">
        <v>4200</v>
      </c>
    </row>
    <row r="70" customFormat="false" ht="15" hidden="false" customHeight="false" outlineLevel="0" collapsed="false">
      <c r="A70" s="2" t="s">
        <v>37</v>
      </c>
      <c r="B70" s="4" t="n">
        <v>43497</v>
      </c>
      <c r="C70" s="5" t="n">
        <v>-3100</v>
      </c>
    </row>
    <row r="71" customFormat="false" ht="15" hidden="false" customHeight="false" outlineLevel="0" collapsed="false">
      <c r="A71" s="2" t="s">
        <v>37</v>
      </c>
      <c r="B71" s="4" t="n">
        <v>44469</v>
      </c>
      <c r="C71" s="5" t="n">
        <v>2400</v>
      </c>
    </row>
    <row r="72" customFormat="false" ht="15" hidden="false" customHeight="false" outlineLevel="0" collapsed="false">
      <c r="A72" s="2" t="s">
        <v>38</v>
      </c>
      <c r="B72" s="4" t="n">
        <v>43831</v>
      </c>
      <c r="C72" s="5" t="n">
        <v>-1000</v>
      </c>
    </row>
    <row r="73" customFormat="false" ht="15" hidden="false" customHeight="false" outlineLevel="0" collapsed="false">
      <c r="A73" s="2" t="s">
        <v>38</v>
      </c>
      <c r="B73" s="4" t="n">
        <v>44197</v>
      </c>
      <c r="C73" s="5" t="n">
        <v>750</v>
      </c>
    </row>
    <row r="74" customFormat="false" ht="15" hidden="false" customHeight="false" outlineLevel="0" collapsed="false">
      <c r="A74" s="2" t="s">
        <v>38</v>
      </c>
      <c r="B74" s="4" t="n">
        <v>44562</v>
      </c>
      <c r="C74" s="5" t="n">
        <v>500</v>
      </c>
    </row>
    <row r="75" customFormat="false" ht="15" hidden="false" customHeight="false" outlineLevel="0" collapsed="false">
      <c r="A75" s="2" t="s">
        <v>39</v>
      </c>
      <c r="B75" s="4" t="n">
        <v>43831</v>
      </c>
      <c r="C75" s="5" t="n">
        <v>-1000</v>
      </c>
    </row>
    <row r="76" customFormat="false" ht="15" hidden="false" customHeight="false" outlineLevel="0" collapsed="false">
      <c r="A76" s="2" t="s">
        <v>39</v>
      </c>
      <c r="B76" s="4" t="n">
        <v>44197</v>
      </c>
      <c r="C76" s="5" t="n">
        <v>5000</v>
      </c>
    </row>
    <row r="77" customFormat="false" ht="15" hidden="false" customHeight="false" outlineLevel="0" collapsed="false">
      <c r="A77" s="2" t="s">
        <v>39</v>
      </c>
      <c r="B77" s="4" t="n">
        <v>44562</v>
      </c>
      <c r="C77" s="5" t="n">
        <v>-6000</v>
      </c>
    </row>
    <row r="78" customFormat="false" ht="15" hidden="false" customHeight="false" outlineLevel="0" collapsed="false">
      <c r="A78" s="2" t="s">
        <v>39</v>
      </c>
      <c r="B78" s="4" t="n">
        <v>44927</v>
      </c>
      <c r="C78" s="5" t="n">
        <v>2500</v>
      </c>
    </row>
    <row r="79" customFormat="false" ht="15" hidden="false" customHeight="false" outlineLevel="0" collapsed="false">
      <c r="A79" s="2" t="s">
        <v>40</v>
      </c>
      <c r="B79" s="4" t="n">
        <v>43831</v>
      </c>
      <c r="C79" s="5" t="n">
        <v>-1000000</v>
      </c>
    </row>
    <row r="80" customFormat="false" ht="15" hidden="false" customHeight="false" outlineLevel="0" collapsed="false">
      <c r="A80" s="2" t="s">
        <v>40</v>
      </c>
      <c r="B80" s="4" t="n">
        <v>44197</v>
      </c>
      <c r="C80" s="5" t="n">
        <v>750000</v>
      </c>
    </row>
    <row r="81" customFormat="false" ht="15" hidden="false" customHeight="false" outlineLevel="0" collapsed="false">
      <c r="A81" s="2" t="s">
        <v>40</v>
      </c>
      <c r="B81" s="4" t="n">
        <v>44562</v>
      </c>
      <c r="C81" s="5" t="n">
        <v>500000</v>
      </c>
    </row>
    <row r="82" customFormat="false" ht="15" hidden="false" customHeight="false" outlineLevel="0" collapsed="false">
      <c r="A82" s="2" t="s">
        <v>41</v>
      </c>
      <c r="B82" s="4" t="n">
        <v>43831</v>
      </c>
      <c r="C82" s="5" t="n">
        <v>-1000000</v>
      </c>
    </row>
    <row r="83" customFormat="false" ht="15" hidden="false" customHeight="false" outlineLevel="0" collapsed="false">
      <c r="A83" s="2" t="s">
        <v>41</v>
      </c>
      <c r="B83" s="4" t="n">
        <v>44197</v>
      </c>
      <c r="C83" s="5" t="n">
        <v>5000000</v>
      </c>
    </row>
    <row r="84" customFormat="false" ht="15" hidden="false" customHeight="false" outlineLevel="0" collapsed="false">
      <c r="A84" s="2" t="s">
        <v>41</v>
      </c>
      <c r="B84" s="4" t="n">
        <v>44562</v>
      </c>
      <c r="C84" s="5" t="n">
        <v>-6000000</v>
      </c>
    </row>
    <row r="85" customFormat="false" ht="15" hidden="false" customHeight="false" outlineLevel="0" collapsed="false">
      <c r="A85" s="2" t="s">
        <v>41</v>
      </c>
      <c r="B85" s="4" t="n">
        <v>44927</v>
      </c>
      <c r="C85" s="5" t="n">
        <v>2500000</v>
      </c>
    </row>
    <row r="86" customFormat="false" ht="15" hidden="false" customHeight="false" outlineLevel="0" collapsed="false">
      <c r="A86" s="2" t="s">
        <v>42</v>
      </c>
      <c r="B86" s="4" t="n">
        <v>43831</v>
      </c>
      <c r="C86" s="5" t="n">
        <v>-1000000000</v>
      </c>
    </row>
    <row r="87" customFormat="false" ht="15" hidden="false" customHeight="false" outlineLevel="0" collapsed="false">
      <c r="A87" s="2" t="s">
        <v>42</v>
      </c>
      <c r="B87" s="4" t="n">
        <v>44197</v>
      </c>
      <c r="C87" s="5" t="n">
        <v>750000000</v>
      </c>
    </row>
    <row r="88" customFormat="false" ht="15" hidden="false" customHeight="false" outlineLevel="0" collapsed="false">
      <c r="A88" s="2" t="s">
        <v>42</v>
      </c>
      <c r="B88" s="4" t="n">
        <v>44562</v>
      </c>
      <c r="C88" s="5" t="n">
        <v>500000000</v>
      </c>
    </row>
    <row r="89" customFormat="false" ht="15" hidden="false" customHeight="false" outlineLevel="0" collapsed="false">
      <c r="A89" s="2" t="s">
        <v>43</v>
      </c>
      <c r="B89" s="4" t="n">
        <v>43831</v>
      </c>
      <c r="C89" s="5" t="n">
        <v>-1000000000</v>
      </c>
    </row>
    <row r="90" customFormat="false" ht="15" hidden="false" customHeight="false" outlineLevel="0" collapsed="false">
      <c r="A90" s="2" t="s">
        <v>43</v>
      </c>
      <c r="B90" s="4" t="n">
        <v>44197</v>
      </c>
      <c r="C90" s="5" t="n">
        <v>5000000000</v>
      </c>
    </row>
    <row r="91" customFormat="false" ht="15" hidden="false" customHeight="false" outlineLevel="0" collapsed="false">
      <c r="A91" s="2" t="s">
        <v>43</v>
      </c>
      <c r="B91" s="4" t="n">
        <v>44562</v>
      </c>
      <c r="C91" s="5" t="n">
        <v>-6000000000</v>
      </c>
    </row>
    <row r="92" customFormat="false" ht="15" hidden="false" customHeight="false" outlineLevel="0" collapsed="false">
      <c r="A92" s="2" t="s">
        <v>43</v>
      </c>
      <c r="B92" s="4" t="n">
        <v>44927</v>
      </c>
      <c r="C92" s="5" t="n">
        <v>2500000000</v>
      </c>
    </row>
    <row r="93" customFormat="false" ht="15" hidden="false" customHeight="false" outlineLevel="0" collapsed="false">
      <c r="A93" s="2" t="s">
        <v>44</v>
      </c>
      <c r="B93" s="4" t="n">
        <v>43831</v>
      </c>
      <c r="C93" s="5" t="n">
        <v>-1000000000000</v>
      </c>
    </row>
    <row r="94" customFormat="false" ht="15" hidden="false" customHeight="false" outlineLevel="0" collapsed="false">
      <c r="A94" s="2" t="s">
        <v>44</v>
      </c>
      <c r="B94" s="4" t="n">
        <v>44197</v>
      </c>
      <c r="C94" s="5" t="n">
        <v>750000000000</v>
      </c>
    </row>
    <row r="95" customFormat="false" ht="15" hidden="false" customHeight="false" outlineLevel="0" collapsed="false">
      <c r="A95" s="2" t="s">
        <v>44</v>
      </c>
      <c r="B95" s="4" t="n">
        <v>44562</v>
      </c>
      <c r="C95" s="5" t="n">
        <v>500000000000</v>
      </c>
    </row>
    <row r="96" customFormat="false" ht="15" hidden="false" customHeight="false" outlineLevel="0" collapsed="false">
      <c r="A96" s="2" t="s">
        <v>45</v>
      </c>
      <c r="B96" s="4" t="n">
        <v>43831</v>
      </c>
      <c r="C96" s="5" t="n">
        <v>-1000000000000</v>
      </c>
    </row>
    <row r="97" customFormat="false" ht="15" hidden="false" customHeight="false" outlineLevel="0" collapsed="false">
      <c r="A97" s="2" t="s">
        <v>45</v>
      </c>
      <c r="B97" s="4" t="n">
        <v>44197</v>
      </c>
      <c r="C97" s="5" t="n">
        <v>5000000000000</v>
      </c>
    </row>
    <row r="98" customFormat="false" ht="15" hidden="false" customHeight="false" outlineLevel="0" collapsed="false">
      <c r="A98" s="2" t="s">
        <v>45</v>
      </c>
      <c r="B98" s="4" t="n">
        <v>44562</v>
      </c>
      <c r="C98" s="5" t="n">
        <v>-6000000000000</v>
      </c>
    </row>
    <row r="99" customFormat="false" ht="15" hidden="false" customHeight="false" outlineLevel="0" collapsed="false">
      <c r="A99" s="2" t="s">
        <v>45</v>
      </c>
      <c r="B99" s="4" t="n">
        <v>44927</v>
      </c>
      <c r="C99" s="5" t="n">
        <v>2500000000000</v>
      </c>
    </row>
    <row r="100" customFormat="false" ht="15" hidden="false" customHeight="false" outlineLevel="0" collapsed="false">
      <c r="A100" s="2" t="s">
        <v>46</v>
      </c>
      <c r="B100" s="4" t="n">
        <v>43831</v>
      </c>
      <c r="C100" s="5" t="n">
        <v>-1000000000000000</v>
      </c>
    </row>
    <row r="101" customFormat="false" ht="15" hidden="false" customHeight="false" outlineLevel="0" collapsed="false">
      <c r="A101" s="2" t="s">
        <v>46</v>
      </c>
      <c r="B101" s="4" t="n">
        <v>44197</v>
      </c>
      <c r="C101" s="5" t="n">
        <v>750000000000000</v>
      </c>
    </row>
    <row r="102" customFormat="false" ht="15" hidden="false" customHeight="false" outlineLevel="0" collapsed="false">
      <c r="A102" s="2" t="s">
        <v>46</v>
      </c>
      <c r="B102" s="4" t="n">
        <v>44562</v>
      </c>
      <c r="C102" s="5" t="n">
        <v>500000000000000</v>
      </c>
    </row>
    <row r="103" customFormat="false" ht="15" hidden="false" customHeight="false" outlineLevel="0" collapsed="false">
      <c r="A103" s="2" t="s">
        <v>47</v>
      </c>
      <c r="B103" s="4" t="n">
        <v>43831</v>
      </c>
      <c r="C103" s="5" t="n">
        <v>-1000000000000000</v>
      </c>
    </row>
    <row r="104" customFormat="false" ht="15" hidden="false" customHeight="false" outlineLevel="0" collapsed="false">
      <c r="A104" s="2" t="s">
        <v>47</v>
      </c>
      <c r="B104" s="4" t="n">
        <v>44197</v>
      </c>
      <c r="C104" s="5" t="n">
        <v>5000000000000000</v>
      </c>
    </row>
    <row r="105" customFormat="false" ht="15" hidden="false" customHeight="false" outlineLevel="0" collapsed="false">
      <c r="A105" s="2" t="s">
        <v>47</v>
      </c>
      <c r="B105" s="4" t="n">
        <v>44562</v>
      </c>
      <c r="C105" s="5" t="n">
        <v>-6000000000000000</v>
      </c>
    </row>
    <row r="106" customFormat="false" ht="15" hidden="false" customHeight="false" outlineLevel="0" collapsed="false">
      <c r="A106" s="2" t="s">
        <v>47</v>
      </c>
      <c r="B106" s="4" t="n">
        <v>44927</v>
      </c>
      <c r="C106" s="5" t="n">
        <v>2500000000000000</v>
      </c>
    </row>
    <row r="107" customFormat="false" ht="15" hidden="false" customHeight="false" outlineLevel="0" collapsed="false">
      <c r="A107" s="2" t="s">
        <v>48</v>
      </c>
      <c r="B107" s="4" t="n">
        <v>43831</v>
      </c>
      <c r="C107" s="5" t="n">
        <v>-0.01</v>
      </c>
    </row>
    <row r="108" customFormat="false" ht="15" hidden="false" customHeight="false" outlineLevel="0" collapsed="false">
      <c r="A108" s="2" t="s">
        <v>48</v>
      </c>
      <c r="B108" s="4" t="n">
        <v>44197</v>
      </c>
      <c r="C108" s="5" t="n">
        <v>0.0125</v>
      </c>
    </row>
    <row r="109" customFormat="false" ht="15" hidden="false" customHeight="false" outlineLevel="0" collapsed="false">
      <c r="A109" s="2" t="s">
        <v>49</v>
      </c>
      <c r="B109" s="4" t="n">
        <v>43831</v>
      </c>
      <c r="C109" s="5" t="n">
        <v>-1000</v>
      </c>
    </row>
    <row r="110" customFormat="false" ht="15" hidden="false" customHeight="false" outlineLevel="0" collapsed="false">
      <c r="A110" s="2" t="s">
        <v>49</v>
      </c>
      <c r="B110" s="4" t="n">
        <v>43983</v>
      </c>
      <c r="C110" s="5" t="n">
        <v>0</v>
      </c>
    </row>
    <row r="111" customFormat="false" ht="15" hidden="false" customHeight="false" outlineLevel="0" collapsed="false">
      <c r="A111" s="2" t="s">
        <v>49</v>
      </c>
      <c r="B111" s="4" t="n">
        <v>44197</v>
      </c>
      <c r="C111" s="5" t="n">
        <v>0</v>
      </c>
    </row>
    <row r="112" customFormat="false" ht="15" hidden="false" customHeight="false" outlineLevel="0" collapsed="false">
      <c r="A112" s="2" t="s">
        <v>49</v>
      </c>
      <c r="B112" s="4" t="n">
        <v>44562</v>
      </c>
      <c r="C112" s="5" t="n">
        <v>1300</v>
      </c>
    </row>
    <row r="113" customFormat="false" ht="15" hidden="false" customHeight="false" outlineLevel="0" collapsed="false">
      <c r="A113" s="2" t="s">
        <v>50</v>
      </c>
      <c r="B113" s="4" t="n">
        <v>43831</v>
      </c>
      <c r="C113" s="5" t="n">
        <v>-500</v>
      </c>
    </row>
    <row r="114" customFormat="false" ht="15" hidden="false" customHeight="false" outlineLevel="0" collapsed="false">
      <c r="A114" s="2" t="s">
        <v>50</v>
      </c>
      <c r="B114" s="4" t="n">
        <v>43831</v>
      </c>
      <c r="C114" s="5" t="n">
        <v>-500</v>
      </c>
    </row>
    <row r="115" customFormat="false" ht="15" hidden="false" customHeight="false" outlineLevel="0" collapsed="false">
      <c r="A115" s="2" t="s">
        <v>50</v>
      </c>
      <c r="B115" s="4" t="n">
        <v>44562</v>
      </c>
      <c r="C115" s="5" t="n">
        <v>1300</v>
      </c>
    </row>
    <row r="116" customFormat="false" ht="15" hidden="false" customHeight="false" outlineLevel="0" collapsed="false">
      <c r="A116" s="2" t="s">
        <v>51</v>
      </c>
      <c r="B116" s="4" t="n">
        <v>43831</v>
      </c>
      <c r="C116" s="5" t="n">
        <v>-10000</v>
      </c>
    </row>
    <row r="117" customFormat="false" ht="15" hidden="false" customHeight="false" outlineLevel="0" collapsed="false">
      <c r="A117" s="2" t="s">
        <v>51</v>
      </c>
      <c r="B117" s="4" t="n">
        <v>43862</v>
      </c>
      <c r="C117" s="5" t="n">
        <v>175</v>
      </c>
    </row>
    <row r="118" customFormat="false" ht="15" hidden="false" customHeight="false" outlineLevel="0" collapsed="false">
      <c r="A118" s="2" t="s">
        <v>51</v>
      </c>
      <c r="B118" s="4" t="n">
        <v>43891</v>
      </c>
      <c r="C118" s="5" t="n">
        <v>175</v>
      </c>
    </row>
    <row r="119" customFormat="false" ht="15" hidden="false" customHeight="false" outlineLevel="0" collapsed="false">
      <c r="A119" s="2" t="s">
        <v>51</v>
      </c>
      <c r="B119" s="4" t="n">
        <v>43922</v>
      </c>
      <c r="C119" s="5" t="n">
        <v>175</v>
      </c>
    </row>
    <row r="120" customFormat="false" ht="15" hidden="false" customHeight="false" outlineLevel="0" collapsed="false">
      <c r="A120" s="2" t="s">
        <v>51</v>
      </c>
      <c r="B120" s="4" t="n">
        <v>43952</v>
      </c>
      <c r="C120" s="5" t="n">
        <v>175</v>
      </c>
    </row>
    <row r="121" customFormat="false" ht="15" hidden="false" customHeight="false" outlineLevel="0" collapsed="false">
      <c r="A121" s="2" t="s">
        <v>51</v>
      </c>
      <c r="B121" s="4" t="n">
        <v>43983</v>
      </c>
      <c r="C121" s="5" t="n">
        <v>175</v>
      </c>
    </row>
    <row r="122" customFormat="false" ht="15" hidden="false" customHeight="false" outlineLevel="0" collapsed="false">
      <c r="A122" s="2" t="s">
        <v>51</v>
      </c>
      <c r="B122" s="4" t="n">
        <v>44013</v>
      </c>
      <c r="C122" s="5" t="n">
        <v>175</v>
      </c>
    </row>
    <row r="123" customFormat="false" ht="15" hidden="false" customHeight="false" outlineLevel="0" collapsed="false">
      <c r="A123" s="2" t="s">
        <v>51</v>
      </c>
      <c r="B123" s="4" t="n">
        <v>44044</v>
      </c>
      <c r="C123" s="5" t="n">
        <v>175</v>
      </c>
    </row>
    <row r="124" customFormat="false" ht="15" hidden="false" customHeight="false" outlineLevel="0" collapsed="false">
      <c r="A124" s="2" t="s">
        <v>51</v>
      </c>
      <c r="B124" s="4" t="n">
        <v>44075</v>
      </c>
      <c r="C124" s="5" t="n">
        <v>175</v>
      </c>
    </row>
    <row r="125" customFormat="false" ht="15" hidden="false" customHeight="false" outlineLevel="0" collapsed="false">
      <c r="A125" s="2" t="s">
        <v>51</v>
      </c>
      <c r="B125" s="4" t="n">
        <v>44105</v>
      </c>
      <c r="C125" s="5" t="n">
        <v>175</v>
      </c>
    </row>
    <row r="126" customFormat="false" ht="15" hidden="false" customHeight="false" outlineLevel="0" collapsed="false">
      <c r="A126" s="2" t="s">
        <v>51</v>
      </c>
      <c r="B126" s="4" t="n">
        <v>44136</v>
      </c>
      <c r="C126" s="5" t="n">
        <v>175</v>
      </c>
    </row>
    <row r="127" customFormat="false" ht="15" hidden="false" customHeight="false" outlineLevel="0" collapsed="false">
      <c r="A127" s="2" t="s">
        <v>51</v>
      </c>
      <c r="B127" s="4" t="n">
        <v>44166</v>
      </c>
      <c r="C127" s="5" t="n">
        <v>175</v>
      </c>
    </row>
    <row r="128" customFormat="false" ht="15" hidden="false" customHeight="false" outlineLevel="0" collapsed="false">
      <c r="A128" s="2" t="s">
        <v>51</v>
      </c>
      <c r="B128" s="4" t="n">
        <v>44197</v>
      </c>
      <c r="C128" s="5" t="n">
        <v>175</v>
      </c>
    </row>
    <row r="129" customFormat="false" ht="15" hidden="false" customHeight="false" outlineLevel="0" collapsed="false">
      <c r="A129" s="2" t="s">
        <v>51</v>
      </c>
      <c r="B129" s="4" t="n">
        <v>44228</v>
      </c>
      <c r="C129" s="5" t="n">
        <v>175</v>
      </c>
    </row>
    <row r="130" customFormat="false" ht="15" hidden="false" customHeight="false" outlineLevel="0" collapsed="false">
      <c r="A130" s="2" t="s">
        <v>51</v>
      </c>
      <c r="B130" s="4" t="n">
        <v>44256</v>
      </c>
      <c r="C130" s="5" t="n">
        <v>175</v>
      </c>
    </row>
    <row r="131" customFormat="false" ht="15" hidden="false" customHeight="false" outlineLevel="0" collapsed="false">
      <c r="A131" s="2" t="s">
        <v>51</v>
      </c>
      <c r="B131" s="4" t="n">
        <v>44287</v>
      </c>
      <c r="C131" s="5" t="n">
        <v>175</v>
      </c>
    </row>
    <row r="132" customFormat="false" ht="15" hidden="false" customHeight="false" outlineLevel="0" collapsed="false">
      <c r="A132" s="2" t="s">
        <v>51</v>
      </c>
      <c r="B132" s="4" t="n">
        <v>44317</v>
      </c>
      <c r="C132" s="5" t="n">
        <v>175</v>
      </c>
    </row>
    <row r="133" customFormat="false" ht="15" hidden="false" customHeight="false" outlineLevel="0" collapsed="false">
      <c r="A133" s="2" t="s">
        <v>51</v>
      </c>
      <c r="B133" s="4" t="n">
        <v>44348</v>
      </c>
      <c r="C133" s="5" t="n">
        <v>175</v>
      </c>
    </row>
    <row r="134" customFormat="false" ht="15" hidden="false" customHeight="false" outlineLevel="0" collapsed="false">
      <c r="A134" s="2" t="s">
        <v>51</v>
      </c>
      <c r="B134" s="4" t="n">
        <v>44378</v>
      </c>
      <c r="C134" s="5" t="n">
        <v>175</v>
      </c>
    </row>
    <row r="135" customFormat="false" ht="15" hidden="false" customHeight="false" outlineLevel="0" collapsed="false">
      <c r="A135" s="2" t="s">
        <v>51</v>
      </c>
      <c r="B135" s="4" t="n">
        <v>44409</v>
      </c>
      <c r="C135" s="5" t="n">
        <v>175</v>
      </c>
    </row>
    <row r="136" customFormat="false" ht="15" hidden="false" customHeight="false" outlineLevel="0" collapsed="false">
      <c r="A136" s="2" t="s">
        <v>51</v>
      </c>
      <c r="B136" s="4" t="n">
        <v>44440</v>
      </c>
      <c r="C136" s="5" t="n">
        <v>175</v>
      </c>
    </row>
    <row r="137" customFormat="false" ht="15" hidden="false" customHeight="false" outlineLevel="0" collapsed="false">
      <c r="A137" s="2" t="s">
        <v>51</v>
      </c>
      <c r="B137" s="4" t="n">
        <v>44470</v>
      </c>
      <c r="C137" s="5" t="n">
        <v>175</v>
      </c>
    </row>
    <row r="138" customFormat="false" ht="15" hidden="false" customHeight="false" outlineLevel="0" collapsed="false">
      <c r="A138" s="2" t="s">
        <v>51</v>
      </c>
      <c r="B138" s="4" t="n">
        <v>44501</v>
      </c>
      <c r="C138" s="5" t="n">
        <v>175</v>
      </c>
    </row>
    <row r="139" customFormat="false" ht="15" hidden="false" customHeight="false" outlineLevel="0" collapsed="false">
      <c r="A139" s="2" t="s">
        <v>51</v>
      </c>
      <c r="B139" s="4" t="n">
        <v>44531</v>
      </c>
      <c r="C139" s="5" t="n">
        <v>175</v>
      </c>
    </row>
    <row r="140" customFormat="false" ht="15" hidden="false" customHeight="false" outlineLevel="0" collapsed="false">
      <c r="A140" s="2" t="s">
        <v>51</v>
      </c>
      <c r="B140" s="4" t="n">
        <v>44562</v>
      </c>
      <c r="C140" s="5" t="n">
        <v>175</v>
      </c>
    </row>
    <row r="141" customFormat="false" ht="15" hidden="false" customHeight="false" outlineLevel="0" collapsed="false">
      <c r="A141" s="2" t="s">
        <v>51</v>
      </c>
      <c r="B141" s="4" t="n">
        <v>44593</v>
      </c>
      <c r="C141" s="5" t="n">
        <v>175</v>
      </c>
    </row>
    <row r="142" customFormat="false" ht="15" hidden="false" customHeight="false" outlineLevel="0" collapsed="false">
      <c r="A142" s="2" t="s">
        <v>51</v>
      </c>
      <c r="B142" s="4" t="n">
        <v>44621</v>
      </c>
      <c r="C142" s="5" t="n">
        <v>175</v>
      </c>
    </row>
    <row r="143" customFormat="false" ht="15" hidden="false" customHeight="false" outlineLevel="0" collapsed="false">
      <c r="A143" s="2" t="s">
        <v>51</v>
      </c>
      <c r="B143" s="4" t="n">
        <v>44652</v>
      </c>
      <c r="C143" s="5" t="n">
        <v>175</v>
      </c>
    </row>
    <row r="144" customFormat="false" ht="15" hidden="false" customHeight="false" outlineLevel="0" collapsed="false">
      <c r="A144" s="2" t="s">
        <v>51</v>
      </c>
      <c r="B144" s="4" t="n">
        <v>44682</v>
      </c>
      <c r="C144" s="5" t="n">
        <v>175</v>
      </c>
    </row>
    <row r="145" customFormat="false" ht="15" hidden="false" customHeight="false" outlineLevel="0" collapsed="false">
      <c r="A145" s="2" t="s">
        <v>51</v>
      </c>
      <c r="B145" s="4" t="n">
        <v>44713</v>
      </c>
      <c r="C145" s="5" t="n">
        <v>175</v>
      </c>
    </row>
    <row r="146" customFormat="false" ht="15" hidden="false" customHeight="false" outlineLevel="0" collapsed="false">
      <c r="A146" s="2" t="s">
        <v>51</v>
      </c>
      <c r="B146" s="4" t="n">
        <v>44743</v>
      </c>
      <c r="C146" s="5" t="n">
        <v>175</v>
      </c>
    </row>
    <row r="147" customFormat="false" ht="15" hidden="false" customHeight="false" outlineLevel="0" collapsed="false">
      <c r="A147" s="2" t="s">
        <v>51</v>
      </c>
      <c r="B147" s="4" t="n">
        <v>44774</v>
      </c>
      <c r="C147" s="5" t="n">
        <v>175</v>
      </c>
    </row>
    <row r="148" customFormat="false" ht="15" hidden="false" customHeight="false" outlineLevel="0" collapsed="false">
      <c r="A148" s="2" t="s">
        <v>51</v>
      </c>
      <c r="B148" s="4" t="n">
        <v>44805</v>
      </c>
      <c r="C148" s="5" t="n">
        <v>175</v>
      </c>
    </row>
    <row r="149" customFormat="false" ht="15" hidden="false" customHeight="false" outlineLevel="0" collapsed="false">
      <c r="A149" s="2" t="s">
        <v>51</v>
      </c>
      <c r="B149" s="4" t="n">
        <v>44835</v>
      </c>
      <c r="C149" s="5" t="n">
        <v>175</v>
      </c>
    </row>
    <row r="150" customFormat="false" ht="15" hidden="false" customHeight="false" outlineLevel="0" collapsed="false">
      <c r="A150" s="2" t="s">
        <v>51</v>
      </c>
      <c r="B150" s="4" t="n">
        <v>44866</v>
      </c>
      <c r="C150" s="5" t="n">
        <v>175</v>
      </c>
    </row>
    <row r="151" customFormat="false" ht="15" hidden="false" customHeight="false" outlineLevel="0" collapsed="false">
      <c r="A151" s="2" t="s">
        <v>51</v>
      </c>
      <c r="B151" s="4" t="n">
        <v>44896</v>
      </c>
      <c r="C151" s="5" t="n">
        <v>175</v>
      </c>
    </row>
    <row r="152" customFormat="false" ht="15" hidden="false" customHeight="false" outlineLevel="0" collapsed="false">
      <c r="A152" s="2" t="s">
        <v>51</v>
      </c>
      <c r="B152" s="4" t="n">
        <v>44927</v>
      </c>
      <c r="C152" s="5" t="n">
        <v>175</v>
      </c>
    </row>
    <row r="153" customFormat="false" ht="15" hidden="false" customHeight="false" outlineLevel="0" collapsed="false">
      <c r="A153" s="2" t="s">
        <v>51</v>
      </c>
      <c r="B153" s="4" t="n">
        <v>44958</v>
      </c>
      <c r="C153" s="5" t="n">
        <v>175</v>
      </c>
    </row>
    <row r="154" customFormat="false" ht="15" hidden="false" customHeight="false" outlineLevel="0" collapsed="false">
      <c r="A154" s="2" t="s">
        <v>51</v>
      </c>
      <c r="B154" s="4" t="n">
        <v>44986</v>
      </c>
      <c r="C154" s="5" t="n">
        <v>175</v>
      </c>
    </row>
    <row r="155" customFormat="false" ht="15" hidden="false" customHeight="false" outlineLevel="0" collapsed="false">
      <c r="A155" s="2" t="s">
        <v>51</v>
      </c>
      <c r="B155" s="4" t="n">
        <v>45017</v>
      </c>
      <c r="C155" s="5" t="n">
        <v>175</v>
      </c>
    </row>
    <row r="156" customFormat="false" ht="15" hidden="false" customHeight="false" outlineLevel="0" collapsed="false">
      <c r="A156" s="2" t="s">
        <v>51</v>
      </c>
      <c r="B156" s="4" t="n">
        <v>45047</v>
      </c>
      <c r="C156" s="5" t="n">
        <v>175</v>
      </c>
    </row>
    <row r="157" customFormat="false" ht="15" hidden="false" customHeight="false" outlineLevel="0" collapsed="false">
      <c r="A157" s="2" t="s">
        <v>51</v>
      </c>
      <c r="B157" s="4" t="n">
        <v>45078</v>
      </c>
      <c r="C157" s="5" t="n">
        <v>175</v>
      </c>
    </row>
    <row r="158" customFormat="false" ht="15" hidden="false" customHeight="false" outlineLevel="0" collapsed="false">
      <c r="A158" s="2" t="s">
        <v>51</v>
      </c>
      <c r="B158" s="4" t="n">
        <v>45108</v>
      </c>
      <c r="C158" s="5" t="n">
        <v>175</v>
      </c>
    </row>
    <row r="159" customFormat="false" ht="15" hidden="false" customHeight="false" outlineLevel="0" collapsed="false">
      <c r="A159" s="2" t="s">
        <v>51</v>
      </c>
      <c r="B159" s="4" t="n">
        <v>45139</v>
      </c>
      <c r="C159" s="5" t="n">
        <v>175</v>
      </c>
    </row>
    <row r="160" customFormat="false" ht="15" hidden="false" customHeight="false" outlineLevel="0" collapsed="false">
      <c r="A160" s="2" t="s">
        <v>51</v>
      </c>
      <c r="B160" s="4" t="n">
        <v>45170</v>
      </c>
      <c r="C160" s="5" t="n">
        <v>175</v>
      </c>
    </row>
    <row r="161" customFormat="false" ht="15" hidden="false" customHeight="false" outlineLevel="0" collapsed="false">
      <c r="A161" s="2" t="s">
        <v>51</v>
      </c>
      <c r="B161" s="4" t="n">
        <v>45200</v>
      </c>
      <c r="C161" s="5" t="n">
        <v>175</v>
      </c>
    </row>
    <row r="162" customFormat="false" ht="15" hidden="false" customHeight="false" outlineLevel="0" collapsed="false">
      <c r="A162" s="2" t="s">
        <v>51</v>
      </c>
      <c r="B162" s="4" t="n">
        <v>45231</v>
      </c>
      <c r="C162" s="5" t="n">
        <v>175</v>
      </c>
    </row>
    <row r="163" customFormat="false" ht="15" hidden="false" customHeight="false" outlineLevel="0" collapsed="false">
      <c r="A163" s="2" t="s">
        <v>51</v>
      </c>
      <c r="B163" s="4" t="n">
        <v>45261</v>
      </c>
      <c r="C163" s="5" t="n">
        <v>175</v>
      </c>
    </row>
    <row r="164" customFormat="false" ht="15" hidden="false" customHeight="false" outlineLevel="0" collapsed="false">
      <c r="A164" s="2" t="s">
        <v>51</v>
      </c>
      <c r="B164" s="4" t="n">
        <v>45292</v>
      </c>
      <c r="C164" s="5" t="n">
        <v>175</v>
      </c>
    </row>
    <row r="165" customFormat="false" ht="15" hidden="false" customHeight="false" outlineLevel="0" collapsed="false">
      <c r="A165" s="2" t="s">
        <v>51</v>
      </c>
      <c r="B165" s="4" t="n">
        <v>45323</v>
      </c>
      <c r="C165" s="5" t="n">
        <v>175</v>
      </c>
    </row>
    <row r="166" customFormat="false" ht="15" hidden="false" customHeight="false" outlineLevel="0" collapsed="false">
      <c r="A166" s="2" t="s">
        <v>51</v>
      </c>
      <c r="B166" s="4" t="n">
        <v>45352</v>
      </c>
      <c r="C166" s="5" t="n">
        <v>175</v>
      </c>
    </row>
    <row r="167" customFormat="false" ht="15" hidden="false" customHeight="false" outlineLevel="0" collapsed="false">
      <c r="A167" s="2" t="s">
        <v>51</v>
      </c>
      <c r="B167" s="4" t="n">
        <v>45383</v>
      </c>
      <c r="C167" s="5" t="n">
        <v>175</v>
      </c>
    </row>
    <row r="168" customFormat="false" ht="15" hidden="false" customHeight="false" outlineLevel="0" collapsed="false">
      <c r="A168" s="2" t="s">
        <v>51</v>
      </c>
      <c r="B168" s="4" t="n">
        <v>45413</v>
      </c>
      <c r="C168" s="5" t="n">
        <v>175</v>
      </c>
    </row>
    <row r="169" customFormat="false" ht="15" hidden="false" customHeight="false" outlineLevel="0" collapsed="false">
      <c r="A169" s="2" t="s">
        <v>51</v>
      </c>
      <c r="B169" s="4" t="n">
        <v>45444</v>
      </c>
      <c r="C169" s="5" t="n">
        <v>175</v>
      </c>
    </row>
    <row r="170" customFormat="false" ht="15" hidden="false" customHeight="false" outlineLevel="0" collapsed="false">
      <c r="A170" s="2" t="s">
        <v>51</v>
      </c>
      <c r="B170" s="4" t="n">
        <v>45474</v>
      </c>
      <c r="C170" s="5" t="n">
        <v>175</v>
      </c>
    </row>
    <row r="171" customFormat="false" ht="15" hidden="false" customHeight="false" outlineLevel="0" collapsed="false">
      <c r="A171" s="2" t="s">
        <v>51</v>
      </c>
      <c r="B171" s="4" t="n">
        <v>45505</v>
      </c>
      <c r="C171" s="5" t="n">
        <v>175</v>
      </c>
    </row>
    <row r="172" customFormat="false" ht="15" hidden="false" customHeight="false" outlineLevel="0" collapsed="false">
      <c r="A172" s="2" t="s">
        <v>51</v>
      </c>
      <c r="B172" s="4" t="n">
        <v>45536</v>
      </c>
      <c r="C172" s="5" t="n">
        <v>175</v>
      </c>
    </row>
    <row r="173" customFormat="false" ht="15" hidden="false" customHeight="false" outlineLevel="0" collapsed="false">
      <c r="A173" s="2" t="s">
        <v>51</v>
      </c>
      <c r="B173" s="4" t="n">
        <v>45566</v>
      </c>
      <c r="C173" s="5" t="n">
        <v>175</v>
      </c>
    </row>
    <row r="174" customFormat="false" ht="15" hidden="false" customHeight="false" outlineLevel="0" collapsed="false">
      <c r="A174" s="2" t="s">
        <v>51</v>
      </c>
      <c r="B174" s="4" t="n">
        <v>45597</v>
      </c>
      <c r="C174" s="5" t="n">
        <v>175</v>
      </c>
    </row>
    <row r="175" customFormat="false" ht="15" hidden="false" customHeight="false" outlineLevel="0" collapsed="false">
      <c r="A175" s="2" t="s">
        <v>51</v>
      </c>
      <c r="B175" s="4" t="n">
        <v>45627</v>
      </c>
      <c r="C175" s="5" t="n">
        <v>175</v>
      </c>
    </row>
    <row r="176" customFormat="false" ht="15" hidden="false" customHeight="false" outlineLevel="0" collapsed="false">
      <c r="A176" s="2" t="s">
        <v>52</v>
      </c>
      <c r="B176" s="4" t="n">
        <v>43831</v>
      </c>
      <c r="C176" s="5" t="n">
        <v>-1000</v>
      </c>
    </row>
    <row r="177" customFormat="false" ht="15" hidden="false" customHeight="false" outlineLevel="0" collapsed="false">
      <c r="A177" s="2" t="s">
        <v>52</v>
      </c>
      <c r="B177" s="4" t="n">
        <v>44197</v>
      </c>
      <c r="C177" s="5" t="n">
        <v>1200</v>
      </c>
    </row>
    <row r="178" customFormat="false" ht="15" hidden="false" customHeight="false" outlineLevel="0" collapsed="false">
      <c r="A178" s="2" t="s">
        <v>52</v>
      </c>
      <c r="B178" s="4" t="n">
        <v>44562</v>
      </c>
      <c r="C178" s="5" t="n">
        <v>0</v>
      </c>
    </row>
    <row r="179" customFormat="false" ht="15" hidden="false" customHeight="false" outlineLevel="0" collapsed="false">
      <c r="A179" s="2" t="s">
        <v>53</v>
      </c>
      <c r="B179" s="4" t="n">
        <v>46177</v>
      </c>
      <c r="C179" s="5" t="n">
        <v>-176</v>
      </c>
    </row>
    <row r="180" customFormat="false" ht="15" hidden="false" customHeight="false" outlineLevel="0" collapsed="false">
      <c r="A180" s="2" t="s">
        <v>53</v>
      </c>
      <c r="B180" s="4" t="n">
        <v>46177</v>
      </c>
      <c r="C180" s="5" t="n">
        <v>25000</v>
      </c>
    </row>
    <row r="181" customFormat="false" ht="15" hidden="false" customHeight="false" outlineLevel="0" collapsed="false">
      <c r="A181" s="2" t="s">
        <v>53</v>
      </c>
      <c r="B181" s="4" t="n">
        <v>49829</v>
      </c>
      <c r="C181" s="5" t="n">
        <v>433</v>
      </c>
    </row>
    <row r="182" customFormat="false" ht="15" hidden="false" customHeight="false" outlineLevel="0" collapsed="false">
      <c r="A182" s="2" t="s">
        <v>54</v>
      </c>
      <c r="B182" s="4" t="n">
        <v>43831</v>
      </c>
      <c r="C182" s="5" t="n">
        <v>-1E-006</v>
      </c>
    </row>
    <row r="183" customFormat="false" ht="15" hidden="false" customHeight="false" outlineLevel="0" collapsed="false">
      <c r="A183" s="2" t="s">
        <v>54</v>
      </c>
      <c r="B183" s="4" t="n">
        <v>44197</v>
      </c>
      <c r="C183" s="5" t="n">
        <v>100000</v>
      </c>
    </row>
    <row r="184" customFormat="false" ht="15" hidden="false" customHeight="false" outlineLevel="0" collapsed="false">
      <c r="A184" s="2" t="s">
        <v>54</v>
      </c>
      <c r="B184" s="4" t="n">
        <v>47484</v>
      </c>
      <c r="C184" s="5" t="n">
        <v>5</v>
      </c>
    </row>
    <row r="185" customFormat="false" ht="15" hidden="false" customHeight="false" outlineLevel="0" collapsed="false">
      <c r="A185" s="2" t="s">
        <v>55</v>
      </c>
      <c r="B185" s="4" t="n">
        <v>42158</v>
      </c>
      <c r="C185" s="5" t="n">
        <v>3700</v>
      </c>
    </row>
    <row r="186" customFormat="false" ht="15" hidden="false" customHeight="false" outlineLevel="0" collapsed="false">
      <c r="A186" s="2" t="s">
        <v>55</v>
      </c>
      <c r="B186" s="4" t="n">
        <v>42510</v>
      </c>
      <c r="C186" s="5" t="n">
        <v>887</v>
      </c>
    </row>
    <row r="187" customFormat="false" ht="15" hidden="false" customHeight="false" outlineLevel="0" collapsed="false">
      <c r="A187" s="2" t="s">
        <v>55</v>
      </c>
      <c r="B187" s="4" t="n">
        <v>42572</v>
      </c>
      <c r="C187" s="5" t="n">
        <v>-57</v>
      </c>
    </row>
    <row r="188" customFormat="false" ht="15" hidden="false" customHeight="false" outlineLevel="0" collapsed="false">
      <c r="A188" s="2" t="s">
        <v>55</v>
      </c>
      <c r="B188" s="4" t="n">
        <v>42989</v>
      </c>
      <c r="C188" s="5" t="n">
        <v>1124</v>
      </c>
    </row>
    <row r="189" customFormat="false" ht="15" hidden="false" customHeight="false" outlineLevel="0" collapsed="false">
      <c r="A189" s="2" t="s">
        <v>56</v>
      </c>
      <c r="B189" s="4" t="n">
        <v>42204</v>
      </c>
      <c r="C189" s="5" t="n">
        <v>-440</v>
      </c>
    </row>
    <row r="190" customFormat="false" ht="15" hidden="false" customHeight="false" outlineLevel="0" collapsed="false">
      <c r="A190" s="2" t="s">
        <v>56</v>
      </c>
      <c r="B190" s="4" t="n">
        <v>42328</v>
      </c>
      <c r="C190" s="5" t="n">
        <v>-3836</v>
      </c>
    </row>
    <row r="191" customFormat="false" ht="15" hidden="false" customHeight="false" outlineLevel="0" collapsed="false">
      <c r="A191" s="2" t="s">
        <v>56</v>
      </c>
      <c r="B191" s="4" t="n">
        <v>42431</v>
      </c>
      <c r="C191" s="5" t="n">
        <v>-1683</v>
      </c>
    </row>
    <row r="192" customFormat="false" ht="15" hidden="false" customHeight="false" outlineLevel="0" collapsed="false">
      <c r="A192" s="2" t="s">
        <v>56</v>
      </c>
      <c r="B192" s="4" t="n">
        <v>42904</v>
      </c>
      <c r="C192" s="5" t="n">
        <v>4648</v>
      </c>
    </row>
    <row r="193" customFormat="false" ht="15" hidden="false" customHeight="false" outlineLevel="0" collapsed="false">
      <c r="A193" s="2" t="s">
        <v>56</v>
      </c>
      <c r="B193" s="4" t="n">
        <v>43227</v>
      </c>
      <c r="C193" s="5" t="n">
        <v>1098</v>
      </c>
    </row>
    <row r="194" customFormat="false" ht="15" hidden="false" customHeight="false" outlineLevel="0" collapsed="false">
      <c r="A194" s="2" t="s">
        <v>56</v>
      </c>
      <c r="B194" s="4" t="n">
        <v>43555</v>
      </c>
      <c r="C194" s="5" t="n">
        <v>4990</v>
      </c>
    </row>
    <row r="195" customFormat="false" ht="15" hidden="false" customHeight="false" outlineLevel="0" collapsed="false">
      <c r="A195" s="2" t="s">
        <v>56</v>
      </c>
      <c r="B195" s="4" t="n">
        <v>44038</v>
      </c>
      <c r="C195" s="5" t="n">
        <v>-4703</v>
      </c>
    </row>
    <row r="196" customFormat="false" ht="15" hidden="false" customHeight="false" outlineLevel="0" collapsed="false">
      <c r="A196" s="2" t="s">
        <v>56</v>
      </c>
      <c r="B196" s="4" t="n">
        <v>44355</v>
      </c>
      <c r="C196" s="5" t="n">
        <v>4951</v>
      </c>
    </row>
    <row r="197" customFormat="false" ht="15" hidden="false" customHeight="false" outlineLevel="0" collapsed="false">
      <c r="A197" s="2" t="s">
        <v>57</v>
      </c>
      <c r="B197" s="4" t="n">
        <v>42373</v>
      </c>
      <c r="C197" s="5" t="n">
        <v>1950</v>
      </c>
    </row>
    <row r="198" customFormat="false" ht="15" hidden="false" customHeight="false" outlineLevel="0" collapsed="false">
      <c r="A198" s="2" t="s">
        <v>57</v>
      </c>
      <c r="B198" s="4" t="n">
        <v>42642</v>
      </c>
      <c r="C198" s="5" t="n">
        <v>3718</v>
      </c>
    </row>
    <row r="199" customFormat="false" ht="15" hidden="false" customHeight="false" outlineLevel="0" collapsed="false">
      <c r="A199" s="2" t="s">
        <v>57</v>
      </c>
      <c r="B199" s="4" t="n">
        <v>42790</v>
      </c>
      <c r="C199" s="5" t="n">
        <v>-4010</v>
      </c>
    </row>
    <row r="200" customFormat="false" ht="15" hidden="false" customHeight="false" outlineLevel="0" collapsed="false">
      <c r="A200" s="2" t="s">
        <v>58</v>
      </c>
      <c r="B200" s="4" t="n">
        <v>42356</v>
      </c>
      <c r="C200" s="5" t="n">
        <v>-3805</v>
      </c>
    </row>
    <row r="201" customFormat="false" ht="15" hidden="false" customHeight="false" outlineLevel="0" collapsed="false">
      <c r="A201" s="2" t="s">
        <v>58</v>
      </c>
      <c r="B201" s="4" t="n">
        <v>42718</v>
      </c>
      <c r="C201" s="5" t="n">
        <v>-4340</v>
      </c>
    </row>
    <row r="202" customFormat="false" ht="15" hidden="false" customHeight="false" outlineLevel="0" collapsed="false">
      <c r="A202" s="2" t="s">
        <v>58</v>
      </c>
      <c r="B202" s="4" t="n">
        <v>42969</v>
      </c>
      <c r="C202" s="5" t="n">
        <v>1475</v>
      </c>
    </row>
    <row r="203" customFormat="false" ht="15" hidden="false" customHeight="false" outlineLevel="0" collapsed="false">
      <c r="A203" s="2" t="s">
        <v>59</v>
      </c>
      <c r="B203" s="4" t="n">
        <v>42383</v>
      </c>
      <c r="C203" s="5" t="n">
        <v>3057</v>
      </c>
    </row>
    <row r="204" customFormat="false" ht="15" hidden="false" customHeight="false" outlineLevel="0" collapsed="false">
      <c r="A204" s="2" t="s">
        <v>59</v>
      </c>
      <c r="B204" s="4" t="n">
        <v>42496</v>
      </c>
      <c r="C204" s="5" t="n">
        <v>3609</v>
      </c>
    </row>
    <row r="205" customFormat="false" ht="15" hidden="false" customHeight="false" outlineLevel="0" collapsed="false">
      <c r="A205" s="2" t="s">
        <v>59</v>
      </c>
      <c r="B205" s="4" t="n">
        <v>42890</v>
      </c>
      <c r="C205" s="5" t="n">
        <v>4661</v>
      </c>
    </row>
    <row r="206" customFormat="false" ht="15" hidden="false" customHeight="false" outlineLevel="0" collapsed="false">
      <c r="A206" s="2" t="s">
        <v>59</v>
      </c>
      <c r="B206" s="4" t="n">
        <v>43315</v>
      </c>
      <c r="C206" s="5" t="n">
        <v>-3995</v>
      </c>
    </row>
    <row r="207" customFormat="false" ht="15" hidden="false" customHeight="false" outlineLevel="0" collapsed="false">
      <c r="A207" s="2" t="s">
        <v>59</v>
      </c>
      <c r="B207" s="4" t="n">
        <v>43746</v>
      </c>
      <c r="C207" s="5" t="n">
        <v>4382</v>
      </c>
    </row>
    <row r="208" customFormat="false" ht="15" hidden="false" customHeight="false" outlineLevel="0" collapsed="false">
      <c r="A208" s="2" t="s">
        <v>59</v>
      </c>
      <c r="B208" s="4" t="n">
        <v>44194</v>
      </c>
      <c r="C208" s="5" t="n">
        <v>-1750</v>
      </c>
    </row>
    <row r="209" customFormat="false" ht="15" hidden="false" customHeight="false" outlineLevel="0" collapsed="false">
      <c r="A209" s="2" t="s">
        <v>59</v>
      </c>
      <c r="B209" s="4" t="n">
        <v>44685</v>
      </c>
      <c r="C209" s="5" t="n">
        <v>-3807</v>
      </c>
    </row>
    <row r="210" customFormat="false" ht="15" hidden="false" customHeight="false" outlineLevel="0" collapsed="false">
      <c r="A210" s="2" t="s">
        <v>60</v>
      </c>
      <c r="B210" s="4" t="n">
        <v>42478</v>
      </c>
      <c r="C210" s="5" t="n">
        <v>-3792</v>
      </c>
    </row>
    <row r="211" customFormat="false" ht="15" hidden="false" customHeight="false" outlineLevel="0" collapsed="false">
      <c r="A211" s="2" t="s">
        <v>60</v>
      </c>
      <c r="B211" s="4" t="n">
        <v>42544</v>
      </c>
      <c r="C211" s="5" t="n">
        <v>-2737</v>
      </c>
    </row>
    <row r="212" customFormat="false" ht="15" hidden="false" customHeight="false" outlineLevel="0" collapsed="false">
      <c r="A212" s="2" t="s">
        <v>60</v>
      </c>
      <c r="B212" s="4" t="n">
        <v>42942</v>
      </c>
      <c r="C212" s="5" t="n">
        <v>3093</v>
      </c>
    </row>
    <row r="213" customFormat="false" ht="15" hidden="false" customHeight="false" outlineLevel="0" collapsed="false">
      <c r="A213" s="2" t="s">
        <v>60</v>
      </c>
      <c r="B213" s="4" t="n">
        <v>43012</v>
      </c>
      <c r="C213" s="5" t="n">
        <v>1639</v>
      </c>
    </row>
    <row r="214" customFormat="false" ht="15" hidden="false" customHeight="false" outlineLevel="0" collapsed="false">
      <c r="A214" s="2" t="s">
        <v>60</v>
      </c>
      <c r="B214" s="4" t="n">
        <v>43439</v>
      </c>
      <c r="C214" s="5" t="n">
        <v>4666</v>
      </c>
    </row>
    <row r="215" customFormat="false" ht="15" hidden="false" customHeight="false" outlineLevel="0" collapsed="false">
      <c r="A215" s="2" t="s">
        <v>61</v>
      </c>
      <c r="B215" s="4" t="n">
        <v>42253</v>
      </c>
      <c r="C215" s="5" t="n">
        <v>3973</v>
      </c>
    </row>
    <row r="216" customFormat="false" ht="15" hidden="false" customHeight="false" outlineLevel="0" collapsed="false">
      <c r="A216" s="2" t="s">
        <v>61</v>
      </c>
      <c r="B216" s="4" t="n">
        <v>42667</v>
      </c>
      <c r="C216" s="5" t="n">
        <v>3539</v>
      </c>
    </row>
    <row r="217" customFormat="false" ht="15" hidden="false" customHeight="false" outlineLevel="0" collapsed="false">
      <c r="A217" s="2" t="s">
        <v>61</v>
      </c>
      <c r="B217" s="4" t="n">
        <v>43094</v>
      </c>
      <c r="C217" s="5" t="n">
        <v>3508</v>
      </c>
    </row>
    <row r="218" customFormat="false" ht="15" hidden="false" customHeight="false" outlineLevel="0" collapsed="false">
      <c r="A218" s="2" t="s">
        <v>61</v>
      </c>
      <c r="B218" s="4" t="n">
        <v>43506</v>
      </c>
      <c r="C218" s="5" t="n">
        <v>-3752</v>
      </c>
    </row>
    <row r="219" customFormat="false" ht="15" hidden="false" customHeight="false" outlineLevel="0" collapsed="false">
      <c r="A219" s="2" t="s">
        <v>61</v>
      </c>
      <c r="B219" s="4" t="n">
        <v>43797</v>
      </c>
      <c r="C219" s="5" t="n">
        <v>-178</v>
      </c>
    </row>
    <row r="220" customFormat="false" ht="15" hidden="false" customHeight="false" outlineLevel="0" collapsed="false">
      <c r="A220" s="2" t="s">
        <v>61</v>
      </c>
      <c r="B220" s="4" t="n">
        <v>44071</v>
      </c>
      <c r="C220" s="5" t="n">
        <v>1820</v>
      </c>
    </row>
    <row r="221" customFormat="false" ht="15" hidden="false" customHeight="false" outlineLevel="0" collapsed="false">
      <c r="A221" s="2" t="s">
        <v>62</v>
      </c>
      <c r="B221" s="4" t="n">
        <v>42475</v>
      </c>
      <c r="C221" s="5" t="n">
        <v>-4090</v>
      </c>
    </row>
    <row r="222" customFormat="false" ht="15" hidden="false" customHeight="false" outlineLevel="0" collapsed="false">
      <c r="A222" s="2" t="s">
        <v>62</v>
      </c>
      <c r="B222" s="4" t="n">
        <v>42634</v>
      </c>
      <c r="C222" s="5" t="n">
        <v>-3765</v>
      </c>
    </row>
    <row r="223" customFormat="false" ht="15" hidden="false" customHeight="false" outlineLevel="0" collapsed="false">
      <c r="A223" s="2" t="s">
        <v>62</v>
      </c>
      <c r="B223" s="4" t="n">
        <v>42999</v>
      </c>
      <c r="C223" s="5" t="n">
        <v>870</v>
      </c>
    </row>
    <row r="224" customFormat="false" ht="15" hidden="false" customHeight="false" outlineLevel="0" collapsed="false">
      <c r="A224" s="2" t="s">
        <v>62</v>
      </c>
      <c r="B224" s="4" t="n">
        <v>43272</v>
      </c>
      <c r="C224" s="5" t="n">
        <v>1125</v>
      </c>
    </row>
    <row r="225" customFormat="false" ht="15" hidden="false" customHeight="false" outlineLevel="0" collapsed="false">
      <c r="A225" s="2" t="s">
        <v>62</v>
      </c>
      <c r="B225" s="4" t="n">
        <v>43526</v>
      </c>
      <c r="C225" s="5" t="n">
        <v>3060</v>
      </c>
    </row>
    <row r="226" customFormat="false" ht="15" hidden="false" customHeight="false" outlineLevel="0" collapsed="false">
      <c r="A226" s="2" t="s">
        <v>62</v>
      </c>
      <c r="B226" s="4" t="n">
        <v>43896</v>
      </c>
      <c r="C226" s="5" t="n">
        <v>-2519</v>
      </c>
    </row>
    <row r="227" customFormat="false" ht="15" hidden="false" customHeight="false" outlineLevel="0" collapsed="false">
      <c r="A227" s="2" t="s">
        <v>62</v>
      </c>
      <c r="B227" s="4" t="n">
        <v>43982</v>
      </c>
      <c r="C227" s="5" t="n">
        <v>-3833</v>
      </c>
    </row>
    <row r="228" customFormat="false" ht="15" hidden="false" customHeight="false" outlineLevel="0" collapsed="false">
      <c r="A228" s="2" t="s">
        <v>63</v>
      </c>
      <c r="B228" s="4" t="n">
        <v>42305</v>
      </c>
      <c r="C228" s="5" t="n">
        <v>-3610</v>
      </c>
    </row>
    <row r="229" customFormat="false" ht="15" hidden="false" customHeight="false" outlineLevel="0" collapsed="false">
      <c r="A229" s="2" t="s">
        <v>63</v>
      </c>
      <c r="B229" s="4" t="n">
        <v>42567</v>
      </c>
      <c r="C229" s="5" t="n">
        <v>911</v>
      </c>
    </row>
    <row r="230" customFormat="false" ht="15" hidden="false" customHeight="false" outlineLevel="0" collapsed="false">
      <c r="A230" s="2" t="s">
        <v>63</v>
      </c>
      <c r="B230" s="4" t="n">
        <v>42727</v>
      </c>
      <c r="C230" s="5" t="n">
        <v>415</v>
      </c>
    </row>
    <row r="231" customFormat="false" ht="15" hidden="false" customHeight="false" outlineLevel="0" collapsed="false">
      <c r="A231" s="2" t="s">
        <v>63</v>
      </c>
      <c r="B231" s="4" t="n">
        <v>43043</v>
      </c>
      <c r="C231" s="5" t="n">
        <v>4732</v>
      </c>
    </row>
    <row r="232" customFormat="false" ht="15" hidden="false" customHeight="false" outlineLevel="0" collapsed="false">
      <c r="A232" s="2" t="s">
        <v>63</v>
      </c>
      <c r="B232" s="4" t="n">
        <v>43334</v>
      </c>
      <c r="C232" s="5" t="n">
        <v>-824</v>
      </c>
    </row>
    <row r="233" customFormat="false" ht="15" hidden="false" customHeight="false" outlineLevel="0" collapsed="false">
      <c r="A233" s="2" t="s">
        <v>63</v>
      </c>
      <c r="B233" s="4" t="n">
        <v>43548</v>
      </c>
      <c r="C233" s="5" t="n">
        <v>4443</v>
      </c>
    </row>
    <row r="234" customFormat="false" ht="15" hidden="false" customHeight="false" outlineLevel="0" collapsed="false">
      <c r="A234" s="2" t="s">
        <v>63</v>
      </c>
      <c r="B234" s="4" t="n">
        <v>44023</v>
      </c>
      <c r="C234" s="5" t="n">
        <v>2651</v>
      </c>
    </row>
    <row r="235" customFormat="false" ht="15" hidden="false" customHeight="false" outlineLevel="0" collapsed="false">
      <c r="A235" s="2" t="s">
        <v>64</v>
      </c>
      <c r="B235" s="4" t="n">
        <v>42133</v>
      </c>
      <c r="C235" s="5" t="n">
        <v>-1053</v>
      </c>
    </row>
    <row r="236" customFormat="false" ht="15" hidden="false" customHeight="false" outlineLevel="0" collapsed="false">
      <c r="A236" s="2" t="s">
        <v>64</v>
      </c>
      <c r="B236" s="4" t="n">
        <v>42599</v>
      </c>
      <c r="C236" s="5" t="n">
        <v>3407</v>
      </c>
    </row>
    <row r="237" customFormat="false" ht="15" hidden="false" customHeight="false" outlineLevel="0" collapsed="false">
      <c r="A237" s="2" t="s">
        <v>64</v>
      </c>
      <c r="B237" s="4" t="n">
        <v>42755</v>
      </c>
      <c r="C237" s="5" t="n">
        <v>555</v>
      </c>
    </row>
    <row r="238" customFormat="false" ht="15" hidden="false" customHeight="false" outlineLevel="0" collapsed="false">
      <c r="A238" s="2" t="s">
        <v>64</v>
      </c>
      <c r="B238" s="4" t="n">
        <v>43049</v>
      </c>
      <c r="C238" s="5" t="n">
        <v>2322</v>
      </c>
    </row>
    <row r="239" customFormat="false" ht="15" hidden="false" customHeight="false" outlineLevel="0" collapsed="false">
      <c r="A239" s="2" t="s">
        <v>65</v>
      </c>
      <c r="B239" s="4" t="n">
        <v>42037</v>
      </c>
      <c r="C239" s="5" t="n">
        <v>4749</v>
      </c>
    </row>
    <row r="240" customFormat="false" ht="15" hidden="false" customHeight="false" outlineLevel="0" collapsed="false">
      <c r="A240" s="2" t="s">
        <v>65</v>
      </c>
      <c r="B240" s="4" t="n">
        <v>42404</v>
      </c>
      <c r="C240" s="5" t="n">
        <v>-4407</v>
      </c>
    </row>
    <row r="241" customFormat="false" ht="15" hidden="false" customHeight="false" outlineLevel="0" collapsed="false">
      <c r="A241" s="2" t="s">
        <v>65</v>
      </c>
      <c r="B241" s="4" t="n">
        <v>42678</v>
      </c>
      <c r="C241" s="5" t="n">
        <v>-1022</v>
      </c>
    </row>
    <row r="242" customFormat="false" ht="15" hidden="false" customHeight="false" outlineLevel="0" collapsed="false">
      <c r="A242" s="2" t="s">
        <v>65</v>
      </c>
      <c r="B242" s="4" t="n">
        <v>42770</v>
      </c>
      <c r="C242" s="5" t="n">
        <v>-4284</v>
      </c>
    </row>
    <row r="243" customFormat="false" ht="15" hidden="false" customHeight="false" outlineLevel="0" collapsed="false">
      <c r="A243" s="2" t="s">
        <v>65</v>
      </c>
      <c r="B243" s="4" t="n">
        <v>42984</v>
      </c>
      <c r="C243" s="5" t="n">
        <v>-3593</v>
      </c>
    </row>
    <row r="244" customFormat="false" ht="15" hidden="false" customHeight="false" outlineLevel="0" collapsed="false">
      <c r="A244" s="2" t="s">
        <v>65</v>
      </c>
      <c r="B244" s="4" t="n">
        <v>43271</v>
      </c>
      <c r="C244" s="5" t="n">
        <v>2156</v>
      </c>
    </row>
    <row r="245" customFormat="false" ht="15" hidden="false" customHeight="false" outlineLevel="0" collapsed="false">
      <c r="A245" s="2" t="s">
        <v>65</v>
      </c>
      <c r="B245" s="4" t="n">
        <v>43554</v>
      </c>
      <c r="C245" s="5" t="n">
        <v>-2836</v>
      </c>
    </row>
    <row r="246" customFormat="false" ht="15" hidden="false" customHeight="false" outlineLevel="0" collapsed="false">
      <c r="A246" s="2" t="s">
        <v>66</v>
      </c>
      <c r="B246" s="4" t="n">
        <v>42281</v>
      </c>
      <c r="C246" s="5" t="n">
        <v>2049</v>
      </c>
    </row>
    <row r="247" customFormat="false" ht="15" hidden="false" customHeight="false" outlineLevel="0" collapsed="false">
      <c r="A247" s="2" t="s">
        <v>66</v>
      </c>
      <c r="B247" s="4" t="n">
        <v>42542</v>
      </c>
      <c r="C247" s="5" t="n">
        <v>-2068</v>
      </c>
    </row>
    <row r="248" customFormat="false" ht="15" hidden="false" customHeight="false" outlineLevel="0" collapsed="false">
      <c r="A248" s="2" t="s">
        <v>66</v>
      </c>
      <c r="B248" s="4" t="n">
        <v>42632</v>
      </c>
      <c r="C248" s="5" t="n">
        <v>-971</v>
      </c>
    </row>
    <row r="249" customFormat="false" ht="15" hidden="false" customHeight="false" outlineLevel="0" collapsed="false">
      <c r="A249" s="2" t="s">
        <v>66</v>
      </c>
      <c r="B249" s="4" t="n">
        <v>42720</v>
      </c>
      <c r="C249" s="5" t="n">
        <v>4970</v>
      </c>
    </row>
    <row r="250" customFormat="false" ht="15" hidden="false" customHeight="false" outlineLevel="0" collapsed="false">
      <c r="A250" s="2" t="s">
        <v>66</v>
      </c>
      <c r="B250" s="4" t="n">
        <v>42998</v>
      </c>
      <c r="C250" s="5" t="n">
        <v>4622</v>
      </c>
    </row>
    <row r="251" customFormat="false" ht="15" hidden="false" customHeight="false" outlineLevel="0" collapsed="false">
      <c r="A251" s="2" t="s">
        <v>66</v>
      </c>
      <c r="B251" s="4" t="n">
        <v>43074</v>
      </c>
      <c r="C251" s="5" t="n">
        <v>-791</v>
      </c>
    </row>
    <row r="252" customFormat="false" ht="15" hidden="false" customHeight="false" outlineLevel="0" collapsed="false">
      <c r="A252" s="2" t="s">
        <v>66</v>
      </c>
      <c r="B252" s="4" t="n">
        <v>43291</v>
      </c>
      <c r="C252" s="5" t="n">
        <v>-2634</v>
      </c>
    </row>
    <row r="253" customFormat="false" ht="15" hidden="false" customHeight="false" outlineLevel="0" collapsed="false">
      <c r="A253" s="2" t="s">
        <v>66</v>
      </c>
      <c r="B253" s="4" t="n">
        <v>43426</v>
      </c>
      <c r="C253" s="5" t="n">
        <v>-2589</v>
      </c>
    </row>
    <row r="254" customFormat="false" ht="15" hidden="false" customHeight="false" outlineLevel="0" collapsed="false">
      <c r="A254" s="2" t="s">
        <v>67</v>
      </c>
      <c r="B254" s="4" t="n">
        <v>42098</v>
      </c>
      <c r="C254" s="5" t="n">
        <v>-890</v>
      </c>
    </row>
    <row r="255" customFormat="false" ht="15" hidden="false" customHeight="false" outlineLevel="0" collapsed="false">
      <c r="A255" s="2" t="s">
        <v>67</v>
      </c>
      <c r="B255" s="4" t="n">
        <v>42267</v>
      </c>
      <c r="C255" s="5" t="n">
        <v>669</v>
      </c>
    </row>
    <row r="256" customFormat="false" ht="15" hidden="false" customHeight="false" outlineLevel="0" collapsed="false">
      <c r="A256" s="2" t="s">
        <v>67</v>
      </c>
      <c r="B256" s="4" t="n">
        <v>42355</v>
      </c>
      <c r="C256" s="5" t="n">
        <v>3598</v>
      </c>
    </row>
    <row r="257" customFormat="false" ht="15" hidden="false" customHeight="false" outlineLevel="0" collapsed="false">
      <c r="A257" s="2" t="s">
        <v>67</v>
      </c>
      <c r="B257" s="4" t="n">
        <v>42829</v>
      </c>
      <c r="C257" s="5" t="n">
        <v>-1292</v>
      </c>
    </row>
    <row r="258" customFormat="false" ht="15" hidden="false" customHeight="false" outlineLevel="0" collapsed="false">
      <c r="A258" s="2" t="s">
        <v>67</v>
      </c>
      <c r="B258" s="4" t="n">
        <v>43166</v>
      </c>
      <c r="C258" s="5" t="n">
        <v>-106</v>
      </c>
    </row>
    <row r="259" customFormat="false" ht="15" hidden="false" customHeight="false" outlineLevel="0" collapsed="false">
      <c r="A259" s="2" t="s">
        <v>67</v>
      </c>
      <c r="B259" s="4" t="n">
        <v>43570</v>
      </c>
      <c r="C259" s="5" t="n">
        <v>4167</v>
      </c>
    </row>
    <row r="260" customFormat="false" ht="15" hidden="false" customHeight="false" outlineLevel="0" collapsed="false">
      <c r="A260" s="2" t="s">
        <v>67</v>
      </c>
      <c r="B260" s="4" t="n">
        <v>44013</v>
      </c>
      <c r="C260" s="5" t="n">
        <v>-1640</v>
      </c>
    </row>
    <row r="261" customFormat="false" ht="15" hidden="false" customHeight="false" outlineLevel="0" collapsed="false">
      <c r="A261" s="2" t="s">
        <v>68</v>
      </c>
      <c r="B261" s="4" t="n">
        <v>42204</v>
      </c>
      <c r="C261" s="5" t="n">
        <v>-4422</v>
      </c>
    </row>
    <row r="262" customFormat="false" ht="15" hidden="false" customHeight="false" outlineLevel="0" collapsed="false">
      <c r="A262" s="2" t="s">
        <v>68</v>
      </c>
      <c r="B262" s="4" t="n">
        <v>42267</v>
      </c>
      <c r="C262" s="5" t="n">
        <v>-961</v>
      </c>
    </row>
    <row r="263" customFormat="false" ht="15" hidden="false" customHeight="false" outlineLevel="0" collapsed="false">
      <c r="A263" s="2" t="s">
        <v>68</v>
      </c>
      <c r="B263" s="4" t="n">
        <v>42666</v>
      </c>
      <c r="C263" s="5" t="n">
        <v>4999</v>
      </c>
    </row>
    <row r="264" customFormat="false" ht="15" hidden="false" customHeight="false" outlineLevel="0" collapsed="false">
      <c r="A264" s="2" t="s">
        <v>68</v>
      </c>
      <c r="B264" s="4" t="n">
        <v>42944</v>
      </c>
      <c r="C264" s="5" t="n">
        <v>-327</v>
      </c>
    </row>
    <row r="265" customFormat="false" ht="15" hidden="false" customHeight="false" outlineLevel="0" collapsed="false">
      <c r="A265" s="2" t="s">
        <v>69</v>
      </c>
      <c r="B265" s="4" t="n">
        <v>42070</v>
      </c>
      <c r="C265" s="5" t="n">
        <v>-3317</v>
      </c>
    </row>
    <row r="266" customFormat="false" ht="15" hidden="false" customHeight="false" outlineLevel="0" collapsed="false">
      <c r="A266" s="2" t="s">
        <v>69</v>
      </c>
      <c r="B266" s="4" t="n">
        <v>42402</v>
      </c>
      <c r="C266" s="5" t="n">
        <v>167</v>
      </c>
    </row>
    <row r="267" customFormat="false" ht="15" hidden="false" customHeight="false" outlineLevel="0" collapsed="false">
      <c r="A267" s="2" t="s">
        <v>69</v>
      </c>
      <c r="B267" s="4" t="n">
        <v>42774</v>
      </c>
      <c r="C267" s="5" t="n">
        <v>3872</v>
      </c>
    </row>
    <row r="268" customFormat="false" ht="15" hidden="false" customHeight="false" outlineLevel="0" collapsed="false">
      <c r="A268" s="2" t="s">
        <v>69</v>
      </c>
      <c r="B268" s="4" t="n">
        <v>42971</v>
      </c>
      <c r="C268" s="5" t="n">
        <v>3422</v>
      </c>
    </row>
    <row r="269" customFormat="false" ht="15" hidden="false" customHeight="false" outlineLevel="0" collapsed="false">
      <c r="A269" s="2" t="s">
        <v>69</v>
      </c>
      <c r="B269" s="4" t="n">
        <v>43062</v>
      </c>
      <c r="C269" s="5" t="n">
        <v>-3410</v>
      </c>
    </row>
    <row r="270" customFormat="false" ht="15" hidden="false" customHeight="false" outlineLevel="0" collapsed="false">
      <c r="A270" s="2" t="s">
        <v>69</v>
      </c>
      <c r="B270" s="4" t="n">
        <v>43370</v>
      </c>
      <c r="C270" s="5" t="n">
        <v>-1414</v>
      </c>
    </row>
    <row r="271" customFormat="false" ht="15" hidden="false" customHeight="false" outlineLevel="0" collapsed="false">
      <c r="A271" s="2" t="s">
        <v>69</v>
      </c>
      <c r="B271" s="4" t="n">
        <v>43447</v>
      </c>
      <c r="C271" s="5" t="n">
        <v>1065</v>
      </c>
    </row>
    <row r="272" customFormat="false" ht="15" hidden="false" customHeight="false" outlineLevel="0" collapsed="false">
      <c r="A272" s="2" t="s">
        <v>70</v>
      </c>
      <c r="B272" s="4" t="n">
        <v>42415</v>
      </c>
      <c r="C272" s="5" t="n">
        <v>4849</v>
      </c>
    </row>
    <row r="273" customFormat="false" ht="15" hidden="false" customHeight="false" outlineLevel="0" collapsed="false">
      <c r="A273" s="2" t="s">
        <v>70</v>
      </c>
      <c r="B273" s="4" t="n">
        <v>42775</v>
      </c>
      <c r="C273" s="5" t="n">
        <v>-3712</v>
      </c>
    </row>
    <row r="274" customFormat="false" ht="15" hidden="false" customHeight="false" outlineLevel="0" collapsed="false">
      <c r="A274" s="2" t="s">
        <v>70</v>
      </c>
      <c r="B274" s="4" t="n">
        <v>42835</v>
      </c>
      <c r="C274" s="5" t="n">
        <v>-121</v>
      </c>
    </row>
    <row r="275" customFormat="false" ht="15" hidden="false" customHeight="false" outlineLevel="0" collapsed="false">
      <c r="A275" s="2" t="s">
        <v>70</v>
      </c>
      <c r="B275" s="4" t="n">
        <v>42882</v>
      </c>
      <c r="C275" s="5" t="n">
        <v>1794</v>
      </c>
    </row>
    <row r="276" customFormat="false" ht="15" hidden="false" customHeight="false" outlineLevel="0" collapsed="false">
      <c r="A276" s="2" t="s">
        <v>70</v>
      </c>
      <c r="B276" s="4" t="n">
        <v>43024</v>
      </c>
      <c r="C276" s="5" t="n">
        <v>-3273</v>
      </c>
    </row>
    <row r="277" customFormat="false" ht="15" hidden="false" customHeight="false" outlineLevel="0" collapsed="false">
      <c r="A277" s="2" t="s">
        <v>70</v>
      </c>
      <c r="B277" s="4" t="n">
        <v>43473</v>
      </c>
      <c r="C277" s="5" t="n">
        <v>-4594</v>
      </c>
    </row>
    <row r="278" customFormat="false" ht="15" hidden="false" customHeight="false" outlineLevel="0" collapsed="false">
      <c r="A278" s="2" t="s">
        <v>70</v>
      </c>
      <c r="B278" s="4" t="n">
        <v>43770</v>
      </c>
      <c r="C278" s="5" t="n">
        <v>4488</v>
      </c>
    </row>
    <row r="279" customFormat="false" ht="15" hidden="false" customHeight="false" outlineLevel="0" collapsed="false">
      <c r="A279" s="2" t="s">
        <v>70</v>
      </c>
      <c r="B279" s="4" t="n">
        <v>43856</v>
      </c>
      <c r="C279" s="5" t="n">
        <v>111</v>
      </c>
    </row>
    <row r="280" customFormat="false" ht="15" hidden="false" customHeight="false" outlineLevel="0" collapsed="false">
      <c r="A280" s="2" t="s">
        <v>71</v>
      </c>
      <c r="B280" s="4" t="n">
        <v>42284</v>
      </c>
      <c r="C280" s="5" t="n">
        <v>-1273</v>
      </c>
    </row>
    <row r="281" customFormat="false" ht="15" hidden="false" customHeight="false" outlineLevel="0" collapsed="false">
      <c r="A281" s="2" t="s">
        <v>71</v>
      </c>
      <c r="B281" s="4" t="n">
        <v>42659</v>
      </c>
      <c r="C281" s="5" t="n">
        <v>4726</v>
      </c>
    </row>
    <row r="282" customFormat="false" ht="15" hidden="false" customHeight="false" outlineLevel="0" collapsed="false">
      <c r="A282" s="2" t="s">
        <v>71</v>
      </c>
      <c r="B282" s="4" t="n">
        <v>42905</v>
      </c>
      <c r="C282" s="5" t="n">
        <v>-1382</v>
      </c>
    </row>
    <row r="283" customFormat="false" ht="15" hidden="false" customHeight="false" outlineLevel="0" collapsed="false">
      <c r="A283" s="2" t="s">
        <v>72</v>
      </c>
      <c r="B283" s="4" t="n">
        <v>42243</v>
      </c>
      <c r="C283" s="5" t="n">
        <v>-502</v>
      </c>
    </row>
    <row r="284" customFormat="false" ht="15" hidden="false" customHeight="false" outlineLevel="0" collapsed="false">
      <c r="A284" s="2" t="s">
        <v>72</v>
      </c>
      <c r="B284" s="4" t="n">
        <v>42559</v>
      </c>
      <c r="C284" s="5" t="n">
        <v>-4968</v>
      </c>
    </row>
    <row r="285" customFormat="false" ht="15" hidden="false" customHeight="false" outlineLevel="0" collapsed="false">
      <c r="A285" s="2" t="s">
        <v>72</v>
      </c>
      <c r="B285" s="4" t="n">
        <v>42627</v>
      </c>
      <c r="C285" s="5" t="n">
        <v>-4787</v>
      </c>
    </row>
    <row r="286" customFormat="false" ht="15" hidden="false" customHeight="false" outlineLevel="0" collapsed="false">
      <c r="A286" s="2" t="s">
        <v>72</v>
      </c>
      <c r="B286" s="4" t="n">
        <v>42690</v>
      </c>
      <c r="C286" s="5" t="n">
        <v>4792</v>
      </c>
    </row>
    <row r="287" customFormat="false" ht="15" hidden="false" customHeight="false" outlineLevel="0" collapsed="false">
      <c r="A287" s="2" t="s">
        <v>72</v>
      </c>
      <c r="B287" s="4" t="n">
        <v>42955</v>
      </c>
      <c r="C287" s="5" t="n">
        <v>1897</v>
      </c>
    </row>
    <row r="288" customFormat="false" ht="15" hidden="false" customHeight="false" outlineLevel="0" collapsed="false">
      <c r="A288" s="2" t="s">
        <v>72</v>
      </c>
      <c r="B288" s="4" t="n">
        <v>43202</v>
      </c>
      <c r="C288" s="5" t="n">
        <v>-2871</v>
      </c>
    </row>
    <row r="289" customFormat="false" ht="15" hidden="false" customHeight="false" outlineLevel="0" collapsed="false">
      <c r="A289" s="2" t="s">
        <v>73</v>
      </c>
      <c r="B289" s="4" t="n">
        <v>42347</v>
      </c>
      <c r="C289" s="5" t="n">
        <v>4101</v>
      </c>
    </row>
    <row r="290" customFormat="false" ht="15" hidden="false" customHeight="false" outlineLevel="0" collapsed="false">
      <c r="A290" s="2" t="s">
        <v>73</v>
      </c>
      <c r="B290" s="4" t="n">
        <v>42583</v>
      </c>
      <c r="C290" s="5" t="n">
        <v>-884</v>
      </c>
    </row>
    <row r="291" customFormat="false" ht="15" hidden="false" customHeight="false" outlineLevel="0" collapsed="false">
      <c r="A291" s="2" t="s">
        <v>73</v>
      </c>
      <c r="B291" s="4" t="n">
        <v>42792</v>
      </c>
      <c r="C291" s="5" t="n">
        <v>668</v>
      </c>
    </row>
    <row r="292" customFormat="false" ht="15" hidden="false" customHeight="false" outlineLevel="0" collapsed="false">
      <c r="A292" s="2" t="s">
        <v>73</v>
      </c>
      <c r="B292" s="4" t="n">
        <v>43139</v>
      </c>
      <c r="C292" s="5" t="n">
        <v>-2009</v>
      </c>
    </row>
    <row r="293" customFormat="false" ht="15" hidden="false" customHeight="false" outlineLevel="0" collapsed="false">
      <c r="A293" s="2" t="s">
        <v>73</v>
      </c>
      <c r="B293" s="4" t="n">
        <v>43217</v>
      </c>
      <c r="C293" s="5" t="n">
        <v>1259</v>
      </c>
    </row>
    <row r="294" customFormat="false" ht="15" hidden="false" customHeight="false" outlineLevel="0" collapsed="false">
      <c r="A294" s="2" t="s">
        <v>74</v>
      </c>
      <c r="B294" s="4" t="n">
        <v>42305</v>
      </c>
      <c r="C294" s="5" t="n">
        <v>-4593</v>
      </c>
    </row>
    <row r="295" customFormat="false" ht="15" hidden="false" customHeight="false" outlineLevel="0" collapsed="false">
      <c r="A295" s="2" t="s">
        <v>74</v>
      </c>
      <c r="B295" s="4" t="n">
        <v>42576</v>
      </c>
      <c r="C295" s="5" t="n">
        <v>-3840</v>
      </c>
    </row>
    <row r="296" customFormat="false" ht="15" hidden="false" customHeight="false" outlineLevel="0" collapsed="false">
      <c r="A296" s="2" t="s">
        <v>74</v>
      </c>
      <c r="B296" s="4" t="n">
        <v>43033</v>
      </c>
      <c r="C296" s="5" t="n">
        <v>-4839</v>
      </c>
    </row>
    <row r="297" customFormat="false" ht="15" hidden="false" customHeight="false" outlineLevel="0" collapsed="false">
      <c r="A297" s="2" t="s">
        <v>74</v>
      </c>
      <c r="B297" s="4" t="n">
        <v>43445</v>
      </c>
      <c r="C297" s="5" t="n">
        <v>-902</v>
      </c>
    </row>
    <row r="298" customFormat="false" ht="15" hidden="false" customHeight="false" outlineLevel="0" collapsed="false">
      <c r="A298" s="2" t="s">
        <v>74</v>
      </c>
      <c r="B298" s="4" t="n">
        <v>43878</v>
      </c>
      <c r="C298" s="5" t="n">
        <v>1564</v>
      </c>
    </row>
    <row r="299" customFormat="false" ht="15" hidden="false" customHeight="false" outlineLevel="0" collapsed="false">
      <c r="A299" s="2" t="s">
        <v>75</v>
      </c>
      <c r="B299" s="4" t="n">
        <v>42472</v>
      </c>
      <c r="C299" s="5" t="n">
        <v>2642</v>
      </c>
    </row>
    <row r="300" customFormat="false" ht="15" hidden="false" customHeight="false" outlineLevel="0" collapsed="false">
      <c r="A300" s="2" t="s">
        <v>75</v>
      </c>
      <c r="B300" s="4" t="n">
        <v>42860</v>
      </c>
      <c r="C300" s="5" t="n">
        <v>1771</v>
      </c>
    </row>
    <row r="301" customFormat="false" ht="15" hidden="false" customHeight="false" outlineLevel="0" collapsed="false">
      <c r="A301" s="2" t="s">
        <v>75</v>
      </c>
      <c r="B301" s="4" t="n">
        <v>42983</v>
      </c>
      <c r="C301" s="5" t="n">
        <v>67</v>
      </c>
    </row>
    <row r="302" customFormat="false" ht="15" hidden="false" customHeight="false" outlineLevel="0" collapsed="false">
      <c r="A302" s="2" t="s">
        <v>75</v>
      </c>
      <c r="B302" s="4" t="n">
        <v>43073</v>
      </c>
      <c r="C302" s="5" t="n">
        <v>-960</v>
      </c>
    </row>
    <row r="303" customFormat="false" ht="15" hidden="false" customHeight="false" outlineLevel="0" collapsed="false">
      <c r="A303" s="2" t="s">
        <v>75</v>
      </c>
      <c r="B303" s="4" t="n">
        <v>43362</v>
      </c>
      <c r="C303" s="5" t="n">
        <v>1546</v>
      </c>
    </row>
    <row r="304" customFormat="false" ht="15" hidden="false" customHeight="false" outlineLevel="0" collapsed="false">
      <c r="A304" s="2" t="s">
        <v>75</v>
      </c>
      <c r="B304" s="4" t="n">
        <v>43492</v>
      </c>
      <c r="C304" s="5" t="n">
        <v>3023</v>
      </c>
    </row>
    <row r="305" customFormat="false" ht="15" hidden="false" customHeight="false" outlineLevel="0" collapsed="false">
      <c r="A305" s="2" t="s">
        <v>75</v>
      </c>
      <c r="B305" s="4" t="n">
        <v>43602</v>
      </c>
      <c r="C305" s="5" t="n">
        <v>-3029</v>
      </c>
    </row>
    <row r="306" customFormat="false" ht="15" hidden="false" customHeight="false" outlineLevel="0" collapsed="false">
      <c r="A306" s="2" t="s">
        <v>75</v>
      </c>
      <c r="B306" s="4" t="n">
        <v>43881</v>
      </c>
      <c r="C306" s="5" t="n">
        <v>-2957</v>
      </c>
    </row>
    <row r="307" customFormat="false" ht="15" hidden="false" customHeight="false" outlineLevel="0" collapsed="false">
      <c r="A307" s="2" t="s">
        <v>76</v>
      </c>
      <c r="B307" s="4" t="n">
        <v>42045</v>
      </c>
      <c r="C307" s="5" t="n">
        <v>2148</v>
      </c>
    </row>
    <row r="308" customFormat="false" ht="15" hidden="false" customHeight="false" outlineLevel="0" collapsed="false">
      <c r="A308" s="2" t="s">
        <v>76</v>
      </c>
      <c r="B308" s="4" t="n">
        <v>42470</v>
      </c>
      <c r="C308" s="5" t="n">
        <v>1397</v>
      </c>
    </row>
    <row r="309" customFormat="false" ht="15" hidden="false" customHeight="false" outlineLevel="0" collapsed="false">
      <c r="A309" s="2" t="s">
        <v>76</v>
      </c>
      <c r="B309" s="4" t="n">
        <v>42533</v>
      </c>
      <c r="C309" s="5" t="n">
        <v>-713</v>
      </c>
    </row>
    <row r="310" customFormat="false" ht="15" hidden="false" customHeight="false" outlineLevel="0" collapsed="false">
      <c r="A310" s="2" t="s">
        <v>76</v>
      </c>
      <c r="B310" s="4" t="n">
        <v>42738</v>
      </c>
      <c r="C310" s="5" t="n">
        <v>1991</v>
      </c>
    </row>
    <row r="311" customFormat="false" ht="15" hidden="false" customHeight="false" outlineLevel="0" collapsed="false">
      <c r="A311" s="2" t="s">
        <v>76</v>
      </c>
      <c r="B311" s="4" t="n">
        <v>43012</v>
      </c>
      <c r="C311" s="5" t="n">
        <v>4357</v>
      </c>
    </row>
    <row r="312" customFormat="false" ht="15" hidden="false" customHeight="false" outlineLevel="0" collapsed="false">
      <c r="A312" s="2" t="s">
        <v>77</v>
      </c>
      <c r="B312" s="4" t="n">
        <v>42298</v>
      </c>
      <c r="C312" s="5" t="n">
        <v>2958</v>
      </c>
    </row>
    <row r="313" customFormat="false" ht="15" hidden="false" customHeight="false" outlineLevel="0" collapsed="false">
      <c r="A313" s="2" t="s">
        <v>77</v>
      </c>
      <c r="B313" s="4" t="n">
        <v>42610</v>
      </c>
      <c r="C313" s="5" t="n">
        <v>1898</v>
      </c>
    </row>
    <row r="314" customFormat="false" ht="15" hidden="false" customHeight="false" outlineLevel="0" collapsed="false">
      <c r="A314" s="2" t="s">
        <v>77</v>
      </c>
      <c r="B314" s="4" t="n">
        <v>42996</v>
      </c>
      <c r="C314" s="5" t="n">
        <v>-3954</v>
      </c>
    </row>
    <row r="315" customFormat="false" ht="15" hidden="false" customHeight="false" outlineLevel="0" collapsed="false">
      <c r="A315" s="2" t="s">
        <v>77</v>
      </c>
      <c r="B315" s="4" t="n">
        <v>43170</v>
      </c>
      <c r="C315" s="5" t="n">
        <v>3024</v>
      </c>
    </row>
    <row r="316" customFormat="false" ht="15" hidden="false" customHeight="false" outlineLevel="0" collapsed="false">
      <c r="A316" s="2" t="s">
        <v>77</v>
      </c>
      <c r="B316" s="4" t="n">
        <v>43514</v>
      </c>
      <c r="C316" s="5" t="n">
        <v>-4552</v>
      </c>
    </row>
    <row r="317" customFormat="false" ht="15" hidden="false" customHeight="false" outlineLevel="0" collapsed="false">
      <c r="A317" s="2" t="s">
        <v>78</v>
      </c>
      <c r="B317" s="4" t="n">
        <v>42155</v>
      </c>
      <c r="C317" s="5" t="n">
        <v>1946</v>
      </c>
    </row>
    <row r="318" customFormat="false" ht="15" hidden="false" customHeight="false" outlineLevel="0" collapsed="false">
      <c r="A318" s="2" t="s">
        <v>78</v>
      </c>
      <c r="B318" s="4" t="n">
        <v>42540</v>
      </c>
      <c r="C318" s="5" t="n">
        <v>4719</v>
      </c>
    </row>
    <row r="319" customFormat="false" ht="15" hidden="false" customHeight="false" outlineLevel="0" collapsed="false">
      <c r="A319" s="2" t="s">
        <v>78</v>
      </c>
      <c r="B319" s="4" t="n">
        <v>42834</v>
      </c>
      <c r="C319" s="5" t="n">
        <v>-2829</v>
      </c>
    </row>
    <row r="320" customFormat="false" ht="15" hidden="false" customHeight="false" outlineLevel="0" collapsed="false">
      <c r="A320" s="2" t="s">
        <v>79</v>
      </c>
      <c r="B320" s="4" t="n">
        <v>42220</v>
      </c>
      <c r="C320" s="5" t="n">
        <v>-4139</v>
      </c>
    </row>
    <row r="321" customFormat="false" ht="15" hidden="false" customHeight="false" outlineLevel="0" collapsed="false">
      <c r="A321" s="2" t="s">
        <v>79</v>
      </c>
      <c r="B321" s="4" t="n">
        <v>42479</v>
      </c>
      <c r="C321" s="5" t="n">
        <v>1062</v>
      </c>
    </row>
    <row r="322" customFormat="false" ht="15" hidden="false" customHeight="false" outlineLevel="0" collapsed="false">
      <c r="A322" s="2" t="s">
        <v>79</v>
      </c>
      <c r="B322" s="4" t="n">
        <v>42845</v>
      </c>
      <c r="C322" s="5" t="n">
        <v>-984</v>
      </c>
    </row>
    <row r="323" customFormat="false" ht="15" hidden="false" customHeight="false" outlineLevel="0" collapsed="false">
      <c r="A323" s="2" t="s">
        <v>79</v>
      </c>
      <c r="B323" s="4" t="n">
        <v>43267</v>
      </c>
      <c r="C323" s="5" t="n">
        <v>-4989</v>
      </c>
    </row>
    <row r="324" customFormat="false" ht="15" hidden="false" customHeight="false" outlineLevel="0" collapsed="false">
      <c r="A324" s="2" t="s">
        <v>80</v>
      </c>
      <c r="B324" s="4" t="n">
        <v>42208</v>
      </c>
      <c r="C324" s="5" t="n">
        <v>-2458</v>
      </c>
    </row>
    <row r="325" customFormat="false" ht="15" hidden="false" customHeight="false" outlineLevel="0" collapsed="false">
      <c r="A325" s="2" t="s">
        <v>80</v>
      </c>
      <c r="B325" s="4" t="n">
        <v>42252</v>
      </c>
      <c r="C325" s="5" t="n">
        <v>-280</v>
      </c>
    </row>
    <row r="326" customFormat="false" ht="15" hidden="false" customHeight="false" outlineLevel="0" collapsed="false">
      <c r="A326" s="2" t="s">
        <v>80</v>
      </c>
      <c r="B326" s="4" t="n">
        <v>42531</v>
      </c>
      <c r="C326" s="5" t="n">
        <v>1564</v>
      </c>
    </row>
    <row r="327" customFormat="false" ht="15" hidden="false" customHeight="false" outlineLevel="0" collapsed="false">
      <c r="A327" s="2" t="s">
        <v>80</v>
      </c>
      <c r="B327" s="4" t="n">
        <v>42581</v>
      </c>
      <c r="C327" s="5" t="n">
        <v>-962</v>
      </c>
    </row>
    <row r="328" customFormat="false" ht="15" hidden="false" customHeight="false" outlineLevel="0" collapsed="false">
      <c r="A328" s="2" t="s">
        <v>80</v>
      </c>
      <c r="B328" s="4" t="n">
        <v>42737</v>
      </c>
      <c r="C328" s="5" t="n">
        <v>-4942</v>
      </c>
    </row>
    <row r="329" customFormat="false" ht="15" hidden="false" customHeight="false" outlineLevel="0" collapsed="false">
      <c r="A329" s="2" t="s">
        <v>80</v>
      </c>
      <c r="B329" s="4" t="n">
        <v>43115</v>
      </c>
      <c r="C329" s="5" t="n">
        <v>3451</v>
      </c>
    </row>
    <row r="330" customFormat="false" ht="15" hidden="false" customHeight="false" outlineLevel="0" collapsed="false">
      <c r="A330" s="2" t="s">
        <v>81</v>
      </c>
      <c r="B330" s="4" t="n">
        <v>42468</v>
      </c>
      <c r="C330" s="5" t="n">
        <v>1500</v>
      </c>
    </row>
    <row r="331" customFormat="false" ht="15" hidden="false" customHeight="false" outlineLevel="0" collapsed="false">
      <c r="A331" s="2" t="s">
        <v>81</v>
      </c>
      <c r="B331" s="4" t="n">
        <v>42577</v>
      </c>
      <c r="C331" s="5" t="n">
        <v>-4146</v>
      </c>
    </row>
    <row r="332" customFormat="false" ht="15" hidden="false" customHeight="false" outlineLevel="0" collapsed="false">
      <c r="A332" s="2" t="s">
        <v>81</v>
      </c>
      <c r="B332" s="4" t="n">
        <v>42861</v>
      </c>
      <c r="C332" s="5" t="n">
        <v>-651</v>
      </c>
    </row>
    <row r="333" customFormat="false" ht="15" hidden="false" customHeight="false" outlineLevel="0" collapsed="false">
      <c r="A333" s="2" t="s">
        <v>81</v>
      </c>
      <c r="B333" s="4" t="n">
        <v>43230</v>
      </c>
      <c r="C333" s="5" t="n">
        <v>-1495</v>
      </c>
    </row>
    <row r="334" customFormat="false" ht="15" hidden="false" customHeight="false" outlineLevel="0" collapsed="false">
      <c r="A334" s="2" t="s">
        <v>81</v>
      </c>
      <c r="B334" s="4" t="n">
        <v>43605</v>
      </c>
      <c r="C334" s="5" t="n">
        <v>4741</v>
      </c>
    </row>
    <row r="335" customFormat="false" ht="15" hidden="false" customHeight="false" outlineLevel="0" collapsed="false">
      <c r="A335" s="2" t="s">
        <v>82</v>
      </c>
      <c r="B335" s="4" t="n">
        <v>42484</v>
      </c>
      <c r="C335" s="5" t="n">
        <v>-4823</v>
      </c>
    </row>
    <row r="336" customFormat="false" ht="15" hidden="false" customHeight="false" outlineLevel="0" collapsed="false">
      <c r="A336" s="2" t="s">
        <v>82</v>
      </c>
      <c r="B336" s="4" t="n">
        <v>42543</v>
      </c>
      <c r="C336" s="5" t="n">
        <v>756</v>
      </c>
    </row>
    <row r="337" customFormat="false" ht="15" hidden="false" customHeight="false" outlineLevel="0" collapsed="false">
      <c r="A337" s="2" t="s">
        <v>82</v>
      </c>
      <c r="B337" s="4" t="n">
        <v>42988</v>
      </c>
      <c r="C337" s="5" t="n">
        <v>-2363</v>
      </c>
    </row>
    <row r="338" customFormat="false" ht="15" hidden="false" customHeight="false" outlineLevel="0" collapsed="false">
      <c r="A338" s="2" t="s">
        <v>82</v>
      </c>
      <c r="B338" s="4" t="n">
        <v>43452</v>
      </c>
      <c r="C338" s="5" t="n">
        <v>1802</v>
      </c>
    </row>
    <row r="339" customFormat="false" ht="15" hidden="false" customHeight="false" outlineLevel="0" collapsed="false">
      <c r="A339" s="2" t="s">
        <v>83</v>
      </c>
      <c r="B339" s="4" t="n">
        <v>42241</v>
      </c>
      <c r="C339" s="5" t="n">
        <v>134</v>
      </c>
    </row>
    <row r="340" customFormat="false" ht="15" hidden="false" customHeight="false" outlineLevel="0" collapsed="false">
      <c r="A340" s="2" t="s">
        <v>83</v>
      </c>
      <c r="B340" s="4" t="n">
        <v>42668</v>
      </c>
      <c r="C340" s="5" t="n">
        <v>4639</v>
      </c>
    </row>
    <row r="341" customFormat="false" ht="15" hidden="false" customHeight="false" outlineLevel="0" collapsed="false">
      <c r="A341" s="2" t="s">
        <v>83</v>
      </c>
      <c r="B341" s="4" t="n">
        <v>42862</v>
      </c>
      <c r="C341" s="5" t="n">
        <v>951</v>
      </c>
    </row>
    <row r="342" customFormat="false" ht="15" hidden="false" customHeight="false" outlineLevel="0" collapsed="false">
      <c r="A342" s="2" t="s">
        <v>83</v>
      </c>
      <c r="B342" s="4" t="n">
        <v>43119</v>
      </c>
      <c r="C342" s="5" t="n">
        <v>-3821</v>
      </c>
    </row>
    <row r="343" customFormat="false" ht="15" hidden="false" customHeight="false" outlineLevel="0" collapsed="false">
      <c r="A343" s="2" t="s">
        <v>83</v>
      </c>
      <c r="B343" s="4" t="n">
        <v>43497</v>
      </c>
      <c r="C343" s="5" t="n">
        <v>3090</v>
      </c>
    </row>
    <row r="344" customFormat="false" ht="15" hidden="false" customHeight="false" outlineLevel="0" collapsed="false">
      <c r="A344" s="2" t="s">
        <v>83</v>
      </c>
      <c r="B344" s="4" t="n">
        <v>43710</v>
      </c>
      <c r="C344" s="5" t="n">
        <v>73</v>
      </c>
    </row>
    <row r="345" customFormat="false" ht="15" hidden="false" customHeight="false" outlineLevel="0" collapsed="false">
      <c r="A345" s="2" t="s">
        <v>84</v>
      </c>
      <c r="B345" s="4" t="n">
        <v>42049</v>
      </c>
      <c r="C345" s="5" t="n">
        <v>-2835</v>
      </c>
    </row>
    <row r="346" customFormat="false" ht="15" hidden="false" customHeight="false" outlineLevel="0" collapsed="false">
      <c r="A346" s="2" t="s">
        <v>84</v>
      </c>
      <c r="B346" s="4" t="n">
        <v>42199</v>
      </c>
      <c r="C346" s="5" t="n">
        <v>-762</v>
      </c>
    </row>
    <row r="347" customFormat="false" ht="15" hidden="false" customHeight="false" outlineLevel="0" collapsed="false">
      <c r="A347" s="2" t="s">
        <v>84</v>
      </c>
      <c r="B347" s="4" t="n">
        <v>42252</v>
      </c>
      <c r="C347" s="5" t="n">
        <v>-3160</v>
      </c>
    </row>
    <row r="348" customFormat="false" ht="15" hidden="false" customHeight="false" outlineLevel="0" collapsed="false">
      <c r="A348" s="2" t="s">
        <v>84</v>
      </c>
      <c r="B348" s="4" t="n">
        <v>42511</v>
      </c>
      <c r="C348" s="5" t="n">
        <v>-1703</v>
      </c>
    </row>
    <row r="349" customFormat="false" ht="15" hidden="false" customHeight="false" outlineLevel="0" collapsed="false">
      <c r="A349" s="2" t="s">
        <v>84</v>
      </c>
      <c r="B349" s="4" t="n">
        <v>42691</v>
      </c>
      <c r="C349" s="5" t="n">
        <v>1088</v>
      </c>
    </row>
    <row r="350" customFormat="false" ht="15" hidden="false" customHeight="false" outlineLevel="0" collapsed="false">
      <c r="A350" s="2" t="s">
        <v>84</v>
      </c>
      <c r="B350" s="4" t="n">
        <v>43048</v>
      </c>
      <c r="C350" s="5" t="n">
        <v>1118</v>
      </c>
    </row>
    <row r="351" customFormat="false" ht="15" hidden="false" customHeight="false" outlineLevel="0" collapsed="false">
      <c r="A351" s="2" t="s">
        <v>84</v>
      </c>
      <c r="B351" s="4" t="n">
        <v>43536</v>
      </c>
      <c r="C351" s="5" t="n">
        <v>1826</v>
      </c>
    </row>
    <row r="352" customFormat="false" ht="15" hidden="false" customHeight="false" outlineLevel="0" collapsed="false">
      <c r="A352" s="2" t="s">
        <v>85</v>
      </c>
      <c r="B352" s="4" t="n">
        <v>42263</v>
      </c>
      <c r="C352" s="5" t="n">
        <v>104</v>
      </c>
    </row>
    <row r="353" customFormat="false" ht="15" hidden="false" customHeight="false" outlineLevel="0" collapsed="false">
      <c r="A353" s="2" t="s">
        <v>85</v>
      </c>
      <c r="B353" s="4" t="n">
        <v>42310</v>
      </c>
      <c r="C353" s="5" t="n">
        <v>-4554</v>
      </c>
    </row>
    <row r="354" customFormat="false" ht="15" hidden="false" customHeight="false" outlineLevel="0" collapsed="false">
      <c r="A354" s="2" t="s">
        <v>85</v>
      </c>
      <c r="B354" s="4" t="n">
        <v>42689</v>
      </c>
      <c r="C354" s="5" t="n">
        <v>4552</v>
      </c>
    </row>
    <row r="355" customFormat="false" ht="15" hidden="false" customHeight="false" outlineLevel="0" collapsed="false">
      <c r="A355" s="2" t="s">
        <v>86</v>
      </c>
      <c r="B355" s="4" t="n">
        <v>42362</v>
      </c>
      <c r="C355" s="5" t="n">
        <v>2333</v>
      </c>
    </row>
    <row r="356" customFormat="false" ht="15" hidden="false" customHeight="false" outlineLevel="0" collapsed="false">
      <c r="A356" s="2" t="s">
        <v>86</v>
      </c>
      <c r="B356" s="4" t="n">
        <v>42430</v>
      </c>
      <c r="C356" s="5" t="n">
        <v>-180</v>
      </c>
    </row>
    <row r="357" customFormat="false" ht="15" hidden="false" customHeight="false" outlineLevel="0" collapsed="false">
      <c r="A357" s="2" t="s">
        <v>86</v>
      </c>
      <c r="B357" s="4" t="n">
        <v>42571</v>
      </c>
      <c r="C357" s="5" t="n">
        <v>-2052</v>
      </c>
    </row>
    <row r="358" customFormat="false" ht="15" hidden="false" customHeight="false" outlineLevel="0" collapsed="false">
      <c r="A358" s="2" t="s">
        <v>86</v>
      </c>
      <c r="B358" s="4" t="n">
        <v>42833</v>
      </c>
      <c r="C358" s="5" t="n">
        <v>1501</v>
      </c>
    </row>
    <row r="359" customFormat="false" ht="15" hidden="false" customHeight="false" outlineLevel="0" collapsed="false">
      <c r="A359" s="2" t="s">
        <v>86</v>
      </c>
      <c r="B359" s="4" t="n">
        <v>43037</v>
      </c>
      <c r="C359" s="5" t="n">
        <v>2212</v>
      </c>
    </row>
    <row r="360" customFormat="false" ht="15" hidden="false" customHeight="false" outlineLevel="0" collapsed="false">
      <c r="A360" s="2" t="s">
        <v>87</v>
      </c>
      <c r="B360" s="4" t="n">
        <v>42191</v>
      </c>
      <c r="C360" s="5" t="n">
        <v>4208</v>
      </c>
    </row>
    <row r="361" customFormat="false" ht="15" hidden="false" customHeight="false" outlineLevel="0" collapsed="false">
      <c r="A361" s="2" t="s">
        <v>87</v>
      </c>
      <c r="B361" s="4" t="n">
        <v>42590</v>
      </c>
      <c r="C361" s="5" t="n">
        <v>4857</v>
      </c>
    </row>
    <row r="362" customFormat="false" ht="15" hidden="false" customHeight="false" outlineLevel="0" collapsed="false">
      <c r="A362" s="2" t="s">
        <v>87</v>
      </c>
      <c r="B362" s="4" t="n">
        <v>43064</v>
      </c>
      <c r="C362" s="5" t="n">
        <v>-3452</v>
      </c>
    </row>
    <row r="363" customFormat="false" ht="15" hidden="false" customHeight="false" outlineLevel="0" collapsed="false">
      <c r="A363" s="2" t="s">
        <v>87</v>
      </c>
      <c r="B363" s="4" t="n">
        <v>43332</v>
      </c>
      <c r="C363" s="5" t="n">
        <v>-712</v>
      </c>
    </row>
    <row r="364" customFormat="false" ht="15" hidden="false" customHeight="false" outlineLevel="0" collapsed="false">
      <c r="A364" s="2" t="s">
        <v>87</v>
      </c>
      <c r="B364" s="4" t="n">
        <v>43570</v>
      </c>
      <c r="C364" s="5" t="n">
        <v>-1051</v>
      </c>
    </row>
    <row r="365" customFormat="false" ht="15" hidden="false" customHeight="false" outlineLevel="0" collapsed="false">
      <c r="A365" s="2" t="s">
        <v>87</v>
      </c>
      <c r="B365" s="4" t="n">
        <v>43986</v>
      </c>
      <c r="C365" s="5" t="n">
        <v>-1441</v>
      </c>
    </row>
    <row r="366" customFormat="false" ht="15" hidden="false" customHeight="false" outlineLevel="0" collapsed="false">
      <c r="A366" s="2" t="s">
        <v>87</v>
      </c>
      <c r="B366" s="4" t="n">
        <v>44469</v>
      </c>
      <c r="C366" s="5" t="n">
        <v>380</v>
      </c>
    </row>
    <row r="367" customFormat="false" ht="15" hidden="false" customHeight="false" outlineLevel="0" collapsed="false">
      <c r="A367" s="2" t="s">
        <v>88</v>
      </c>
      <c r="B367" s="4" t="n">
        <v>42150</v>
      </c>
      <c r="C367" s="5" t="n">
        <v>-579</v>
      </c>
    </row>
    <row r="368" customFormat="false" ht="15" hidden="false" customHeight="false" outlineLevel="0" collapsed="false">
      <c r="A368" s="2" t="s">
        <v>88</v>
      </c>
      <c r="B368" s="4" t="n">
        <v>42628</v>
      </c>
      <c r="C368" s="5" t="n">
        <v>-1732</v>
      </c>
    </row>
    <row r="369" customFormat="false" ht="15" hidden="false" customHeight="false" outlineLevel="0" collapsed="false">
      <c r="A369" s="2" t="s">
        <v>88</v>
      </c>
      <c r="B369" s="4" t="n">
        <v>42982</v>
      </c>
      <c r="C369" s="5" t="n">
        <v>1083</v>
      </c>
    </row>
    <row r="370" customFormat="false" ht="15" hidden="false" customHeight="false" outlineLevel="0" collapsed="false">
      <c r="A370" s="2" t="s">
        <v>88</v>
      </c>
      <c r="B370" s="4" t="n">
        <v>43345</v>
      </c>
      <c r="C370" s="5" t="n">
        <v>-1012</v>
      </c>
    </row>
    <row r="371" customFormat="false" ht="15" hidden="false" customHeight="false" outlineLevel="0" collapsed="false">
      <c r="A371" s="2" t="s">
        <v>88</v>
      </c>
      <c r="B371" s="4" t="n">
        <v>43570</v>
      </c>
      <c r="C371" s="5" t="n">
        <v>-2756</v>
      </c>
    </row>
    <row r="372" customFormat="false" ht="15" hidden="false" customHeight="false" outlineLevel="0" collapsed="false">
      <c r="A372" s="2" t="s">
        <v>88</v>
      </c>
      <c r="B372" s="4" t="n">
        <v>43710</v>
      </c>
      <c r="C372" s="5" t="n">
        <v>-3645</v>
      </c>
    </row>
    <row r="373" customFormat="false" ht="15" hidden="false" customHeight="false" outlineLevel="0" collapsed="false">
      <c r="A373" s="2" t="s">
        <v>88</v>
      </c>
      <c r="B373" s="4" t="n">
        <v>43750</v>
      </c>
      <c r="C373" s="5" t="n">
        <v>4918</v>
      </c>
    </row>
    <row r="374" customFormat="false" ht="15" hidden="false" customHeight="false" outlineLevel="0" collapsed="false">
      <c r="A374" s="2" t="s">
        <v>89</v>
      </c>
      <c r="B374" s="4" t="n">
        <v>42141</v>
      </c>
      <c r="C374" s="5" t="n">
        <v>1948</v>
      </c>
    </row>
    <row r="375" customFormat="false" ht="15" hidden="false" customHeight="false" outlineLevel="0" collapsed="false">
      <c r="A375" s="2" t="s">
        <v>89</v>
      </c>
      <c r="B375" s="4" t="n">
        <v>42539</v>
      </c>
      <c r="C375" s="5" t="n">
        <v>-2020</v>
      </c>
    </row>
    <row r="376" customFormat="false" ht="15" hidden="false" customHeight="false" outlineLevel="0" collapsed="false">
      <c r="A376" s="2" t="s">
        <v>89</v>
      </c>
      <c r="B376" s="4" t="n">
        <v>42944</v>
      </c>
      <c r="C376" s="5" t="n">
        <v>-4321</v>
      </c>
    </row>
    <row r="377" customFormat="false" ht="15" hidden="false" customHeight="false" outlineLevel="0" collapsed="false">
      <c r="A377" s="2" t="s">
        <v>89</v>
      </c>
      <c r="B377" s="4" t="n">
        <v>43374</v>
      </c>
      <c r="C377" s="5" t="n">
        <v>4459</v>
      </c>
    </row>
    <row r="378" customFormat="false" ht="15" hidden="false" customHeight="false" outlineLevel="0" collapsed="false">
      <c r="A378" s="2" t="s">
        <v>89</v>
      </c>
      <c r="B378" s="4" t="n">
        <v>43410</v>
      </c>
      <c r="C378" s="5" t="n">
        <v>2577</v>
      </c>
    </row>
    <row r="379" customFormat="false" ht="15" hidden="false" customHeight="false" outlineLevel="0" collapsed="false">
      <c r="A379" s="2" t="s">
        <v>89</v>
      </c>
      <c r="B379" s="4" t="n">
        <v>43494</v>
      </c>
      <c r="C379" s="5" t="n">
        <v>-1027</v>
      </c>
    </row>
    <row r="380" customFormat="false" ht="15" hidden="false" customHeight="false" outlineLevel="0" collapsed="false">
      <c r="A380" s="2" t="s">
        <v>90</v>
      </c>
      <c r="B380" s="4" t="n">
        <v>42433</v>
      </c>
      <c r="C380" s="5" t="n">
        <v>-2621</v>
      </c>
    </row>
    <row r="381" customFormat="false" ht="15" hidden="false" customHeight="false" outlineLevel="0" collapsed="false">
      <c r="A381" s="2" t="s">
        <v>90</v>
      </c>
      <c r="B381" s="4" t="n">
        <v>42657</v>
      </c>
      <c r="C381" s="5" t="n">
        <v>4981</v>
      </c>
    </row>
    <row r="382" customFormat="false" ht="15" hidden="false" customHeight="false" outlineLevel="0" collapsed="false">
      <c r="A382" s="2" t="s">
        <v>90</v>
      </c>
      <c r="B382" s="4" t="n">
        <v>43096</v>
      </c>
      <c r="C382" s="5" t="n">
        <v>2555</v>
      </c>
    </row>
    <row r="383" customFormat="false" ht="15" hidden="false" customHeight="false" outlineLevel="0" collapsed="false">
      <c r="A383" s="2" t="s">
        <v>90</v>
      </c>
      <c r="B383" s="4" t="n">
        <v>43204</v>
      </c>
      <c r="C383" s="5" t="n">
        <v>4530</v>
      </c>
    </row>
    <row r="384" customFormat="false" ht="15" hidden="false" customHeight="false" outlineLevel="0" collapsed="false">
      <c r="A384" s="2" t="s">
        <v>90</v>
      </c>
      <c r="B384" s="4" t="n">
        <v>43641</v>
      </c>
      <c r="C384" s="5" t="n">
        <v>269</v>
      </c>
    </row>
    <row r="385" customFormat="false" ht="15" hidden="false" customHeight="false" outlineLevel="0" collapsed="false">
      <c r="A385" s="2" t="s">
        <v>90</v>
      </c>
      <c r="B385" s="4" t="n">
        <v>44003</v>
      </c>
      <c r="C385" s="5" t="n">
        <v>3949</v>
      </c>
    </row>
    <row r="386" customFormat="false" ht="15" hidden="false" customHeight="false" outlineLevel="0" collapsed="false">
      <c r="A386" s="2" t="s">
        <v>91</v>
      </c>
      <c r="B386" s="4" t="n">
        <v>42419</v>
      </c>
      <c r="C386" s="5" t="n">
        <v>-2679</v>
      </c>
    </row>
    <row r="387" customFormat="false" ht="15" hidden="false" customHeight="false" outlineLevel="0" collapsed="false">
      <c r="A387" s="2" t="s">
        <v>91</v>
      </c>
      <c r="B387" s="4" t="n">
        <v>42571</v>
      </c>
      <c r="C387" s="5" t="n">
        <v>-3897</v>
      </c>
    </row>
    <row r="388" customFormat="false" ht="15" hidden="false" customHeight="false" outlineLevel="0" collapsed="false">
      <c r="A388" s="2" t="s">
        <v>91</v>
      </c>
      <c r="B388" s="4" t="n">
        <v>42997</v>
      </c>
      <c r="C388" s="5" t="n">
        <v>3909</v>
      </c>
    </row>
    <row r="389" customFormat="false" ht="15" hidden="false" customHeight="false" outlineLevel="0" collapsed="false">
      <c r="A389" s="2" t="s">
        <v>91</v>
      </c>
      <c r="B389" s="4" t="n">
        <v>43487</v>
      </c>
      <c r="C389" s="5" t="n">
        <v>3115</v>
      </c>
    </row>
    <row r="390" customFormat="false" ht="15" hidden="false" customHeight="false" outlineLevel="0" collapsed="false">
      <c r="A390" s="2" t="s">
        <v>91</v>
      </c>
      <c r="B390" s="4" t="n">
        <v>43953</v>
      </c>
      <c r="C390" s="5" t="n">
        <v>-4130</v>
      </c>
    </row>
    <row r="391" customFormat="false" ht="15" hidden="false" customHeight="false" outlineLevel="0" collapsed="false">
      <c r="A391" s="2" t="s">
        <v>91</v>
      </c>
      <c r="B391" s="4" t="n">
        <v>44301</v>
      </c>
      <c r="C391" s="5" t="n">
        <v>-4866</v>
      </c>
    </row>
    <row r="392" customFormat="false" ht="15" hidden="false" customHeight="false" outlineLevel="0" collapsed="false">
      <c r="A392" s="2" t="s">
        <v>91</v>
      </c>
      <c r="B392" s="4" t="n">
        <v>44595</v>
      </c>
      <c r="C392" s="5" t="n">
        <v>-1101</v>
      </c>
    </row>
    <row r="393" customFormat="false" ht="15" hidden="false" customHeight="false" outlineLevel="0" collapsed="false">
      <c r="A393" s="2" t="s">
        <v>92</v>
      </c>
      <c r="B393" s="4" t="n">
        <v>42456</v>
      </c>
      <c r="C393" s="5" t="n">
        <v>-3002</v>
      </c>
    </row>
    <row r="394" customFormat="false" ht="15" hidden="false" customHeight="false" outlineLevel="0" collapsed="false">
      <c r="A394" s="2" t="s">
        <v>92</v>
      </c>
      <c r="B394" s="4" t="n">
        <v>42861</v>
      </c>
      <c r="C394" s="5" t="n">
        <v>2860</v>
      </c>
    </row>
    <row r="395" customFormat="false" ht="15" hidden="false" customHeight="false" outlineLevel="0" collapsed="false">
      <c r="A395" s="2" t="s">
        <v>92</v>
      </c>
      <c r="B395" s="4" t="n">
        <v>43301</v>
      </c>
      <c r="C395" s="5" t="n">
        <v>-1403</v>
      </c>
    </row>
    <row r="396" customFormat="false" ht="15" hidden="false" customHeight="false" outlineLevel="0" collapsed="false">
      <c r="A396" s="2" t="s">
        <v>92</v>
      </c>
      <c r="B396" s="4" t="n">
        <v>43558</v>
      </c>
      <c r="C396" s="5" t="n">
        <v>2180</v>
      </c>
    </row>
    <row r="397" customFormat="false" ht="15" hidden="false" customHeight="false" outlineLevel="0" collapsed="false">
      <c r="A397" s="2" t="s">
        <v>92</v>
      </c>
      <c r="B397" s="4" t="n">
        <v>43618</v>
      </c>
      <c r="C397" s="5" t="n">
        <v>614</v>
      </c>
    </row>
    <row r="398" customFormat="false" ht="15" hidden="false" customHeight="false" outlineLevel="0" collapsed="false">
      <c r="A398" s="2" t="s">
        <v>92</v>
      </c>
      <c r="B398" s="4" t="n">
        <v>43795</v>
      </c>
      <c r="C398" s="5" t="n">
        <v>1935</v>
      </c>
    </row>
    <row r="399" customFormat="false" ht="15" hidden="false" customHeight="false" outlineLevel="0" collapsed="false">
      <c r="A399" s="2" t="s">
        <v>92</v>
      </c>
      <c r="B399" s="4" t="n">
        <v>43946</v>
      </c>
      <c r="C399" s="5" t="n">
        <v>-737</v>
      </c>
    </row>
    <row r="400" customFormat="false" ht="15" hidden="false" customHeight="false" outlineLevel="0" collapsed="false">
      <c r="A400" s="2" t="s">
        <v>93</v>
      </c>
      <c r="B400" s="4" t="n">
        <v>42364</v>
      </c>
      <c r="C400" s="5" t="n">
        <v>-3765</v>
      </c>
    </row>
    <row r="401" customFormat="false" ht="15" hidden="false" customHeight="false" outlineLevel="0" collapsed="false">
      <c r="A401" s="2" t="s">
        <v>93</v>
      </c>
      <c r="B401" s="4" t="n">
        <v>42854</v>
      </c>
      <c r="C401" s="5" t="n">
        <v>-4355</v>
      </c>
    </row>
    <row r="402" customFormat="false" ht="15" hidden="false" customHeight="false" outlineLevel="0" collapsed="false">
      <c r="A402" s="2" t="s">
        <v>93</v>
      </c>
      <c r="B402" s="4" t="n">
        <v>43005</v>
      </c>
      <c r="C402" s="5" t="n">
        <v>4011</v>
      </c>
    </row>
    <row r="403" customFormat="false" ht="15" hidden="false" customHeight="false" outlineLevel="0" collapsed="false">
      <c r="A403" s="2" t="s">
        <v>94</v>
      </c>
      <c r="B403" s="4" t="n">
        <v>42335</v>
      </c>
      <c r="C403" s="5" t="n">
        <v>-4977</v>
      </c>
    </row>
    <row r="404" customFormat="false" ht="15" hidden="false" customHeight="false" outlineLevel="0" collapsed="false">
      <c r="A404" s="2" t="s">
        <v>94</v>
      </c>
      <c r="B404" s="4" t="n">
        <v>42421</v>
      </c>
      <c r="C404" s="5" t="n">
        <v>-701</v>
      </c>
    </row>
    <row r="405" customFormat="false" ht="15" hidden="false" customHeight="false" outlineLevel="0" collapsed="false">
      <c r="A405" s="2" t="s">
        <v>94</v>
      </c>
      <c r="B405" s="4" t="n">
        <v>42847</v>
      </c>
      <c r="C405" s="5" t="n">
        <v>1032</v>
      </c>
    </row>
    <row r="406" customFormat="false" ht="15" hidden="false" customHeight="false" outlineLevel="0" collapsed="false">
      <c r="A406" s="2" t="s">
        <v>94</v>
      </c>
      <c r="B406" s="4" t="n">
        <v>43227</v>
      </c>
      <c r="C406" s="5" t="n">
        <v>-1871</v>
      </c>
    </row>
    <row r="407" customFormat="false" ht="15" hidden="false" customHeight="false" outlineLevel="0" collapsed="false">
      <c r="A407" s="2" t="s">
        <v>94</v>
      </c>
      <c r="B407" s="4" t="n">
        <v>43332</v>
      </c>
      <c r="C407" s="5" t="n">
        <v>-948</v>
      </c>
    </row>
    <row r="408" customFormat="false" ht="15" hidden="false" customHeight="false" outlineLevel="0" collapsed="false">
      <c r="A408" s="2" t="s">
        <v>95</v>
      </c>
      <c r="B408" s="4" t="n">
        <v>42424</v>
      </c>
      <c r="C408" s="5" t="n">
        <v>2625</v>
      </c>
    </row>
    <row r="409" customFormat="false" ht="15" hidden="false" customHeight="false" outlineLevel="0" collapsed="false">
      <c r="A409" s="2" t="s">
        <v>95</v>
      </c>
      <c r="B409" s="4" t="n">
        <v>42899</v>
      </c>
      <c r="C409" s="5" t="n">
        <v>3934</v>
      </c>
    </row>
    <row r="410" customFormat="false" ht="15" hidden="false" customHeight="false" outlineLevel="0" collapsed="false">
      <c r="A410" s="2" t="s">
        <v>95</v>
      </c>
      <c r="B410" s="4" t="n">
        <v>43296</v>
      </c>
      <c r="C410" s="5" t="n">
        <v>1800</v>
      </c>
    </row>
    <row r="411" customFormat="false" ht="15" hidden="false" customHeight="false" outlineLevel="0" collapsed="false">
      <c r="A411" s="2" t="s">
        <v>95</v>
      </c>
      <c r="B411" s="4" t="n">
        <v>43509</v>
      </c>
      <c r="C411" s="5" t="n">
        <v>2892</v>
      </c>
    </row>
    <row r="412" customFormat="false" ht="15" hidden="false" customHeight="false" outlineLevel="0" collapsed="false">
      <c r="A412" s="2" t="s">
        <v>95</v>
      </c>
      <c r="B412" s="4" t="n">
        <v>43717</v>
      </c>
      <c r="C412" s="5" t="n">
        <v>1387</v>
      </c>
    </row>
    <row r="413" customFormat="false" ht="15" hidden="false" customHeight="false" outlineLevel="0" collapsed="false">
      <c r="A413" s="2" t="s">
        <v>95</v>
      </c>
      <c r="B413" s="4" t="n">
        <v>44022</v>
      </c>
      <c r="C413" s="5" t="n">
        <v>3206</v>
      </c>
    </row>
    <row r="414" customFormat="false" ht="15" hidden="false" customHeight="false" outlineLevel="0" collapsed="false">
      <c r="A414" s="2" t="s">
        <v>95</v>
      </c>
      <c r="B414" s="4" t="n">
        <v>44090</v>
      </c>
      <c r="C414" s="5" t="n">
        <v>1299</v>
      </c>
    </row>
    <row r="415" customFormat="false" ht="15" hidden="false" customHeight="false" outlineLevel="0" collapsed="false">
      <c r="A415" s="2" t="s">
        <v>95</v>
      </c>
      <c r="B415" s="4" t="n">
        <v>44432</v>
      </c>
      <c r="C415" s="5" t="n">
        <v>-858</v>
      </c>
    </row>
    <row r="416" customFormat="false" ht="15" hidden="false" customHeight="false" outlineLevel="0" collapsed="false">
      <c r="A416" s="2" t="s">
        <v>96</v>
      </c>
      <c r="B416" s="4" t="n">
        <v>42405</v>
      </c>
      <c r="C416" s="5" t="n">
        <v>3653</v>
      </c>
    </row>
    <row r="417" customFormat="false" ht="15" hidden="false" customHeight="false" outlineLevel="0" collapsed="false">
      <c r="A417" s="2" t="s">
        <v>96</v>
      </c>
      <c r="B417" s="4" t="n">
        <v>42475</v>
      </c>
      <c r="C417" s="5" t="n">
        <v>-830</v>
      </c>
    </row>
    <row r="418" customFormat="false" ht="15" hidden="false" customHeight="false" outlineLevel="0" collapsed="false">
      <c r="A418" s="2" t="s">
        <v>96</v>
      </c>
      <c r="B418" s="4" t="n">
        <v>42594</v>
      </c>
      <c r="C418" s="5" t="n">
        <v>1243</v>
      </c>
    </row>
    <row r="419" customFormat="false" ht="15" hidden="false" customHeight="false" outlineLevel="0" collapsed="false">
      <c r="A419" s="2" t="s">
        <v>96</v>
      </c>
      <c r="B419" s="4" t="n">
        <v>42895</v>
      </c>
      <c r="C419" s="5" t="n">
        <v>848</v>
      </c>
    </row>
    <row r="420" customFormat="false" ht="15" hidden="false" customHeight="false" outlineLevel="0" collapsed="false">
      <c r="A420" s="2" t="s">
        <v>96</v>
      </c>
      <c r="B420" s="4" t="n">
        <v>43307</v>
      </c>
      <c r="C420" s="5" t="n">
        <v>698</v>
      </c>
    </row>
    <row r="421" customFormat="false" ht="15" hidden="false" customHeight="false" outlineLevel="0" collapsed="false">
      <c r="A421" s="2" t="s">
        <v>97</v>
      </c>
      <c r="B421" s="4" t="n">
        <v>42159</v>
      </c>
      <c r="C421" s="5" t="n">
        <v>-1414</v>
      </c>
    </row>
    <row r="422" customFormat="false" ht="15" hidden="false" customHeight="false" outlineLevel="0" collapsed="false">
      <c r="A422" s="2" t="s">
        <v>97</v>
      </c>
      <c r="B422" s="4" t="n">
        <v>42474</v>
      </c>
      <c r="C422" s="5" t="n">
        <v>-1159</v>
      </c>
    </row>
    <row r="423" customFormat="false" ht="15" hidden="false" customHeight="false" outlineLevel="0" collapsed="false">
      <c r="A423" s="2" t="s">
        <v>97</v>
      </c>
      <c r="B423" s="4" t="n">
        <v>42804</v>
      </c>
      <c r="C423" s="5" t="n">
        <v>1774</v>
      </c>
    </row>
    <row r="424" customFormat="false" ht="15" hidden="false" customHeight="false" outlineLevel="0" collapsed="false">
      <c r="A424" s="2" t="s">
        <v>97</v>
      </c>
      <c r="B424" s="4" t="n">
        <v>42864</v>
      </c>
      <c r="C424" s="5" t="n">
        <v>1004</v>
      </c>
    </row>
    <row r="425" customFormat="false" ht="15" hidden="false" customHeight="false" outlineLevel="0" collapsed="false">
      <c r="A425" s="2" t="s">
        <v>97</v>
      </c>
      <c r="B425" s="4" t="n">
        <v>43005</v>
      </c>
      <c r="C425" s="5" t="n">
        <v>-1762</v>
      </c>
    </row>
    <row r="426" customFormat="false" ht="15" hidden="false" customHeight="false" outlineLevel="0" collapsed="false">
      <c r="A426" s="2" t="s">
        <v>97</v>
      </c>
      <c r="B426" s="4" t="n">
        <v>43167</v>
      </c>
      <c r="C426" s="5" t="n">
        <v>-371</v>
      </c>
    </row>
    <row r="427" customFormat="false" ht="15" hidden="false" customHeight="false" outlineLevel="0" collapsed="false">
      <c r="A427" s="2" t="s">
        <v>97</v>
      </c>
      <c r="B427" s="4" t="n">
        <v>43352</v>
      </c>
      <c r="C427" s="5" t="n">
        <v>-2586</v>
      </c>
    </row>
    <row r="428" customFormat="false" ht="15" hidden="false" customHeight="false" outlineLevel="0" collapsed="false">
      <c r="A428" s="2" t="s">
        <v>98</v>
      </c>
      <c r="B428" s="4" t="n">
        <v>42183</v>
      </c>
      <c r="C428" s="5" t="n">
        <v>-2303</v>
      </c>
    </row>
    <row r="429" customFormat="false" ht="15" hidden="false" customHeight="false" outlineLevel="0" collapsed="false">
      <c r="A429" s="2" t="s">
        <v>98</v>
      </c>
      <c r="B429" s="4" t="n">
        <v>42448</v>
      </c>
      <c r="C429" s="5" t="n">
        <v>-1209</v>
      </c>
    </row>
    <row r="430" customFormat="false" ht="15" hidden="false" customHeight="false" outlineLevel="0" collapsed="false">
      <c r="A430" s="2" t="s">
        <v>98</v>
      </c>
      <c r="B430" s="4" t="n">
        <v>42730</v>
      </c>
      <c r="C430" s="5" t="n">
        <v>-3665</v>
      </c>
    </row>
    <row r="431" customFormat="false" ht="15" hidden="false" customHeight="false" outlineLevel="0" collapsed="false">
      <c r="A431" s="2" t="s">
        <v>98</v>
      </c>
      <c r="B431" s="4" t="n">
        <v>43143</v>
      </c>
      <c r="C431" s="5" t="n">
        <v>-802</v>
      </c>
    </row>
    <row r="432" customFormat="false" ht="15" hidden="false" customHeight="false" outlineLevel="0" collapsed="false">
      <c r="A432" s="2" t="s">
        <v>98</v>
      </c>
      <c r="B432" s="4" t="n">
        <v>43555</v>
      </c>
      <c r="C432" s="5" t="n">
        <v>-505</v>
      </c>
    </row>
    <row r="433" customFormat="false" ht="15" hidden="false" customHeight="false" outlineLevel="0" collapsed="false">
      <c r="A433" s="2" t="s">
        <v>98</v>
      </c>
      <c r="B433" s="4" t="n">
        <v>43776</v>
      </c>
      <c r="C433" s="5" t="n">
        <v>-261</v>
      </c>
    </row>
    <row r="434" customFormat="false" ht="15" hidden="false" customHeight="false" outlineLevel="0" collapsed="false">
      <c r="A434" s="2" t="s">
        <v>98</v>
      </c>
      <c r="B434" s="4" t="n">
        <v>43958</v>
      </c>
      <c r="C434" s="5" t="n">
        <v>4350</v>
      </c>
    </row>
    <row r="435" customFormat="false" ht="15" hidden="false" customHeight="false" outlineLevel="0" collapsed="false">
      <c r="A435" s="2" t="s">
        <v>99</v>
      </c>
      <c r="B435" s="4" t="n">
        <v>42314</v>
      </c>
      <c r="C435" s="5" t="n">
        <v>-4151</v>
      </c>
    </row>
    <row r="436" customFormat="false" ht="15" hidden="false" customHeight="false" outlineLevel="0" collapsed="false">
      <c r="A436" s="2" t="s">
        <v>99</v>
      </c>
      <c r="B436" s="4" t="n">
        <v>42405</v>
      </c>
      <c r="C436" s="5" t="n">
        <v>391</v>
      </c>
    </row>
    <row r="437" customFormat="false" ht="15" hidden="false" customHeight="false" outlineLevel="0" collapsed="false">
      <c r="A437" s="2" t="s">
        <v>99</v>
      </c>
      <c r="B437" s="4" t="n">
        <v>42441</v>
      </c>
      <c r="C437" s="5" t="n">
        <v>-4218</v>
      </c>
    </row>
    <row r="438" customFormat="false" ht="15" hidden="false" customHeight="false" outlineLevel="0" collapsed="false">
      <c r="A438" s="2" t="s">
        <v>99</v>
      </c>
      <c r="B438" s="4" t="n">
        <v>42694</v>
      </c>
      <c r="C438" s="5" t="n">
        <v>-3259</v>
      </c>
    </row>
    <row r="439" customFormat="false" ht="15" hidden="false" customHeight="false" outlineLevel="0" collapsed="false">
      <c r="A439" s="2" t="s">
        <v>99</v>
      </c>
      <c r="B439" s="4" t="n">
        <v>43090</v>
      </c>
      <c r="C439" s="5" t="n">
        <v>-3358</v>
      </c>
    </row>
    <row r="440" customFormat="false" ht="15" hidden="false" customHeight="false" outlineLevel="0" collapsed="false">
      <c r="A440" s="2" t="s">
        <v>99</v>
      </c>
      <c r="B440" s="4" t="n">
        <v>43403</v>
      </c>
      <c r="C440" s="5" t="n">
        <v>2034</v>
      </c>
    </row>
    <row r="441" customFormat="false" ht="15" hidden="false" customHeight="false" outlineLevel="0" collapsed="false">
      <c r="A441" s="2" t="s">
        <v>99</v>
      </c>
      <c r="B441" s="4" t="n">
        <v>43480</v>
      </c>
      <c r="C441" s="5" t="n">
        <v>1077</v>
      </c>
    </row>
    <row r="442" customFormat="false" ht="15" hidden="false" customHeight="false" outlineLevel="0" collapsed="false">
      <c r="A442" s="2" t="s">
        <v>100</v>
      </c>
      <c r="B442" s="4" t="n">
        <v>42253</v>
      </c>
      <c r="C442" s="5" t="n">
        <v>-1187</v>
      </c>
    </row>
    <row r="443" customFormat="false" ht="15" hidden="false" customHeight="false" outlineLevel="0" collapsed="false">
      <c r="A443" s="2" t="s">
        <v>100</v>
      </c>
      <c r="B443" s="4" t="n">
        <v>42364</v>
      </c>
      <c r="C443" s="5" t="n">
        <v>-1582</v>
      </c>
    </row>
    <row r="444" customFormat="false" ht="15" hidden="false" customHeight="false" outlineLevel="0" collapsed="false">
      <c r="A444" s="2" t="s">
        <v>100</v>
      </c>
      <c r="B444" s="4" t="n">
        <v>42543</v>
      </c>
      <c r="C444" s="5" t="n">
        <v>-4240</v>
      </c>
    </row>
    <row r="445" customFormat="false" ht="15" hidden="false" customHeight="false" outlineLevel="0" collapsed="false">
      <c r="A445" s="2" t="s">
        <v>100</v>
      </c>
      <c r="B445" s="4" t="n">
        <v>42706</v>
      </c>
      <c r="C445" s="5" t="n">
        <v>752</v>
      </c>
    </row>
    <row r="446" customFormat="false" ht="15" hidden="false" customHeight="false" outlineLevel="0" collapsed="false">
      <c r="A446" s="2" t="s">
        <v>100</v>
      </c>
      <c r="B446" s="4" t="n">
        <v>43099</v>
      </c>
      <c r="C446" s="5" t="n">
        <v>-153</v>
      </c>
    </row>
    <row r="447" customFormat="false" ht="15" hidden="false" customHeight="false" outlineLevel="0" collapsed="false">
      <c r="A447" s="2" t="s">
        <v>100</v>
      </c>
      <c r="B447" s="4" t="n">
        <v>43399</v>
      </c>
      <c r="C447" s="5" t="n">
        <v>844</v>
      </c>
    </row>
    <row r="448" customFormat="false" ht="15" hidden="false" customHeight="false" outlineLevel="0" collapsed="false">
      <c r="A448" s="2" t="s">
        <v>100</v>
      </c>
      <c r="B448" s="4" t="n">
        <v>43701</v>
      </c>
      <c r="C448" s="5" t="n">
        <v>943</v>
      </c>
    </row>
    <row r="449" customFormat="false" ht="15" hidden="false" customHeight="false" outlineLevel="0" collapsed="false">
      <c r="A449" s="2" t="s">
        <v>100</v>
      </c>
      <c r="B449" s="4" t="n">
        <v>43897</v>
      </c>
      <c r="C449" s="5" t="n">
        <v>-945</v>
      </c>
    </row>
    <row r="450" customFormat="false" ht="15" hidden="false" customHeight="false" outlineLevel="0" collapsed="false">
      <c r="A450" s="2" t="s">
        <v>101</v>
      </c>
      <c r="B450" s="4" t="n">
        <v>42354</v>
      </c>
      <c r="C450" s="5" t="n">
        <v>-2755</v>
      </c>
    </row>
    <row r="451" customFormat="false" ht="15" hidden="false" customHeight="false" outlineLevel="0" collapsed="false">
      <c r="A451" s="2" t="s">
        <v>101</v>
      </c>
      <c r="B451" s="4" t="n">
        <v>42642</v>
      </c>
      <c r="C451" s="5" t="n">
        <v>-168</v>
      </c>
    </row>
    <row r="452" customFormat="false" ht="15" hidden="false" customHeight="false" outlineLevel="0" collapsed="false">
      <c r="A452" s="2" t="s">
        <v>101</v>
      </c>
      <c r="B452" s="4" t="n">
        <v>43069</v>
      </c>
      <c r="C452" s="5" t="n">
        <v>-24</v>
      </c>
    </row>
    <row r="453" customFormat="false" ht="15" hidden="false" customHeight="false" outlineLevel="0" collapsed="false">
      <c r="A453" s="2" t="s">
        <v>101</v>
      </c>
      <c r="B453" s="4" t="n">
        <v>43206</v>
      </c>
      <c r="C453" s="5" t="n">
        <v>-3891</v>
      </c>
    </row>
    <row r="454" customFormat="false" ht="15" hidden="false" customHeight="false" outlineLevel="0" collapsed="false">
      <c r="A454" s="2" t="s">
        <v>101</v>
      </c>
      <c r="B454" s="4" t="n">
        <v>43347</v>
      </c>
      <c r="C454" s="5" t="n">
        <v>1551</v>
      </c>
    </row>
    <row r="455" customFormat="false" ht="15" hidden="false" customHeight="false" outlineLevel="0" collapsed="false">
      <c r="A455" s="2" t="s">
        <v>101</v>
      </c>
      <c r="B455" s="4" t="n">
        <v>43809</v>
      </c>
      <c r="C455" s="5" t="n">
        <v>-4531</v>
      </c>
    </row>
    <row r="456" customFormat="false" ht="15" hidden="false" customHeight="false" outlineLevel="0" collapsed="false">
      <c r="A456" s="2" t="s">
        <v>101</v>
      </c>
      <c r="B456" s="4" t="n">
        <v>44186</v>
      </c>
      <c r="C456" s="5" t="n">
        <v>631</v>
      </c>
    </row>
    <row r="457" customFormat="false" ht="15" hidden="false" customHeight="false" outlineLevel="0" collapsed="false">
      <c r="A457" s="2" t="s">
        <v>101</v>
      </c>
      <c r="B457" s="4" t="n">
        <v>44239</v>
      </c>
      <c r="C457" s="5" t="n">
        <v>97</v>
      </c>
    </row>
    <row r="458" customFormat="false" ht="15" hidden="false" customHeight="false" outlineLevel="0" collapsed="false">
      <c r="A458" s="2" t="s">
        <v>102</v>
      </c>
      <c r="B458" s="4" t="n">
        <v>42382</v>
      </c>
      <c r="C458" s="5" t="n">
        <v>2751</v>
      </c>
    </row>
    <row r="459" customFormat="false" ht="15" hidden="false" customHeight="false" outlineLevel="0" collapsed="false">
      <c r="A459" s="2" t="s">
        <v>102</v>
      </c>
      <c r="B459" s="4" t="n">
        <v>42674</v>
      </c>
      <c r="C459" s="5" t="n">
        <v>1793</v>
      </c>
    </row>
    <row r="460" customFormat="false" ht="15" hidden="false" customHeight="false" outlineLevel="0" collapsed="false">
      <c r="A460" s="2" t="s">
        <v>102</v>
      </c>
      <c r="B460" s="4" t="n">
        <v>42724</v>
      </c>
      <c r="C460" s="5" t="n">
        <v>200</v>
      </c>
    </row>
    <row r="461" customFormat="false" ht="15" hidden="false" customHeight="false" outlineLevel="0" collapsed="false">
      <c r="A461" s="2" t="s">
        <v>102</v>
      </c>
      <c r="B461" s="4" t="n">
        <v>42833</v>
      </c>
      <c r="C461" s="5" t="n">
        <v>-2049</v>
      </c>
    </row>
    <row r="462" customFormat="false" ht="15" hidden="false" customHeight="false" outlineLevel="0" collapsed="false">
      <c r="A462" s="2" t="s">
        <v>102</v>
      </c>
      <c r="B462" s="4" t="n">
        <v>43165</v>
      </c>
      <c r="C462" s="5" t="n">
        <v>-3345</v>
      </c>
    </row>
    <row r="463" customFormat="false" ht="15" hidden="false" customHeight="false" outlineLevel="0" collapsed="false">
      <c r="A463" s="2" t="s">
        <v>102</v>
      </c>
      <c r="B463" s="4" t="n">
        <v>43486</v>
      </c>
      <c r="C463" s="5" t="n">
        <v>-2515</v>
      </c>
    </row>
    <row r="464" customFormat="false" ht="15" hidden="false" customHeight="false" outlineLevel="0" collapsed="false">
      <c r="A464" s="2" t="s">
        <v>102</v>
      </c>
      <c r="B464" s="4" t="n">
        <v>43831</v>
      </c>
      <c r="C464" s="5" t="n">
        <v>3503</v>
      </c>
    </row>
    <row r="465" customFormat="false" ht="15" hidden="false" customHeight="false" outlineLevel="0" collapsed="false">
      <c r="A465" s="2" t="s">
        <v>102</v>
      </c>
      <c r="B465" s="4" t="n">
        <v>44019</v>
      </c>
      <c r="C465" s="5" t="n">
        <v>353</v>
      </c>
    </row>
    <row r="466" customFormat="false" ht="15" hidden="false" customHeight="false" outlineLevel="0" collapsed="false">
      <c r="A466" s="2" t="s">
        <v>103</v>
      </c>
      <c r="B466" s="4" t="n">
        <v>42496</v>
      </c>
      <c r="C466" s="5" t="n">
        <v>-1548</v>
      </c>
    </row>
    <row r="467" customFormat="false" ht="15" hidden="false" customHeight="false" outlineLevel="0" collapsed="false">
      <c r="A467" s="2" t="s">
        <v>103</v>
      </c>
      <c r="B467" s="4" t="n">
        <v>42626</v>
      </c>
      <c r="C467" s="5" t="n">
        <v>716</v>
      </c>
    </row>
    <row r="468" customFormat="false" ht="15" hidden="false" customHeight="false" outlineLevel="0" collapsed="false">
      <c r="A468" s="2" t="s">
        <v>103</v>
      </c>
      <c r="B468" s="4" t="n">
        <v>42780</v>
      </c>
      <c r="C468" s="5" t="n">
        <v>-4117</v>
      </c>
    </row>
    <row r="469" customFormat="false" ht="15" hidden="false" customHeight="false" outlineLevel="0" collapsed="false">
      <c r="A469" s="2" t="s">
        <v>104</v>
      </c>
      <c r="B469" s="4" t="n">
        <v>42345</v>
      </c>
      <c r="C469" s="5" t="n">
        <v>3971</v>
      </c>
    </row>
    <row r="470" customFormat="false" ht="15" hidden="false" customHeight="false" outlineLevel="0" collapsed="false">
      <c r="A470" s="2" t="s">
        <v>104</v>
      </c>
      <c r="B470" s="4" t="n">
        <v>42759</v>
      </c>
      <c r="C470" s="5" t="n">
        <v>635</v>
      </c>
    </row>
    <row r="471" customFormat="false" ht="15" hidden="false" customHeight="false" outlineLevel="0" collapsed="false">
      <c r="A471" s="2" t="s">
        <v>104</v>
      </c>
      <c r="B471" s="4" t="n">
        <v>43053</v>
      </c>
      <c r="C471" s="5" t="n">
        <v>-4771</v>
      </c>
    </row>
    <row r="472" customFormat="false" ht="15" hidden="false" customHeight="false" outlineLevel="0" collapsed="false">
      <c r="A472" s="2" t="s">
        <v>104</v>
      </c>
      <c r="B472" s="4" t="n">
        <v>43511</v>
      </c>
      <c r="C472" s="5" t="n">
        <v>728</v>
      </c>
    </row>
    <row r="473" customFormat="false" ht="15" hidden="false" customHeight="false" outlineLevel="0" collapsed="false">
      <c r="A473" s="2" t="s">
        <v>104</v>
      </c>
      <c r="B473" s="4" t="n">
        <v>43586</v>
      </c>
      <c r="C473" s="5" t="n">
        <v>-3811</v>
      </c>
    </row>
    <row r="474" customFormat="false" ht="15" hidden="false" customHeight="false" outlineLevel="0" collapsed="false">
      <c r="A474" s="2" t="s">
        <v>104</v>
      </c>
      <c r="B474" s="4" t="n">
        <v>44073</v>
      </c>
      <c r="C474" s="5" t="n">
        <v>4602</v>
      </c>
    </row>
    <row r="475" customFormat="false" ht="15" hidden="false" customHeight="false" outlineLevel="0" collapsed="false">
      <c r="A475" s="2" t="s">
        <v>105</v>
      </c>
      <c r="B475" s="4" t="n">
        <v>42295</v>
      </c>
      <c r="C475" s="5" t="n">
        <v>-2083</v>
      </c>
    </row>
    <row r="476" customFormat="false" ht="15" hidden="false" customHeight="false" outlineLevel="0" collapsed="false">
      <c r="A476" s="2" t="s">
        <v>105</v>
      </c>
      <c r="B476" s="4" t="n">
        <v>42394</v>
      </c>
      <c r="C476" s="5" t="n">
        <v>-410</v>
      </c>
    </row>
    <row r="477" customFormat="false" ht="15" hidden="false" customHeight="false" outlineLevel="0" collapsed="false">
      <c r="A477" s="2" t="s">
        <v>105</v>
      </c>
      <c r="B477" s="4" t="n">
        <v>42713</v>
      </c>
      <c r="C477" s="5" t="n">
        <v>-634</v>
      </c>
    </row>
    <row r="478" customFormat="false" ht="15" hidden="false" customHeight="false" outlineLevel="0" collapsed="false">
      <c r="A478" s="2" t="s">
        <v>105</v>
      </c>
      <c r="B478" s="4" t="n">
        <v>42983</v>
      </c>
      <c r="C478" s="5" t="n">
        <v>851</v>
      </c>
    </row>
    <row r="479" customFormat="false" ht="15" hidden="false" customHeight="false" outlineLevel="0" collapsed="false">
      <c r="A479" s="2" t="s">
        <v>105</v>
      </c>
      <c r="B479" s="4" t="n">
        <v>43066</v>
      </c>
      <c r="C479" s="5" t="n">
        <v>4922</v>
      </c>
    </row>
    <row r="480" customFormat="false" ht="15" hidden="false" customHeight="false" outlineLevel="0" collapsed="false">
      <c r="A480" s="2" t="s">
        <v>105</v>
      </c>
      <c r="B480" s="4" t="n">
        <v>43517</v>
      </c>
      <c r="C480" s="5" t="n">
        <v>-4396</v>
      </c>
    </row>
    <row r="481" customFormat="false" ht="15" hidden="false" customHeight="false" outlineLevel="0" collapsed="false">
      <c r="A481" s="2" t="s">
        <v>105</v>
      </c>
      <c r="B481" s="4" t="n">
        <v>43558</v>
      </c>
      <c r="C481" s="5" t="n">
        <v>3356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14</v>
      </c>
      <c r="B1" s="3" t="s">
        <v>106</v>
      </c>
      <c r="C1" s="3" t="s">
        <v>107</v>
      </c>
      <c r="D1" s="3" t="s">
        <v>108</v>
      </c>
      <c r="E1" s="3" t="s">
        <v>109</v>
      </c>
    </row>
    <row r="2" customFormat="false" ht="15" hidden="false" customHeight="false" outlineLevel="0" collapsed="false">
      <c r="A2" s="2" t="s">
        <v>17</v>
      </c>
      <c r="B2" s="2" t="n">
        <v>3</v>
      </c>
      <c r="C2" s="2" t="n">
        <v>1</v>
      </c>
      <c r="D2" s="6" t="n">
        <f aca="false">IFERROR(XIRR(flows!$C$2:$C$4,flows!$B$2:$B$4),"NUM")</f>
        <v>0.175009264615451</v>
      </c>
      <c r="E2" s="7" t="n">
        <f aca="false">IF(ISNUMBER(D2),IFERROR(XNPV(D2,flows!$C$2:$C$4,flows!$B$2:$B$4),"ERR"),"")</f>
        <v>0</v>
      </c>
    </row>
    <row r="3" customFormat="false" ht="15" hidden="false" customHeight="false" outlineLevel="0" collapsed="false">
      <c r="A3" s="2" t="s">
        <v>18</v>
      </c>
      <c r="B3" s="2" t="n">
        <v>2</v>
      </c>
      <c r="C3" s="2" t="n">
        <v>1</v>
      </c>
      <c r="D3" s="6" t="n">
        <f aca="false">IFERROR(XIRR(flows!$C$5:$C$6,flows!$B$5:$B$6),"NUM")</f>
        <v>0.299068439002596</v>
      </c>
      <c r="E3" s="7" t="n">
        <f aca="false">IF(ISNUMBER(D3),IFERROR(XNPV(D3,flows!$C$5:$C$6,flows!$B$5:$B$6),"ERR"),"")</f>
        <v>1.4210854715202E-014</v>
      </c>
    </row>
    <row r="4" customFormat="false" ht="15" hidden="false" customHeight="false" outlineLevel="0" collapsed="false">
      <c r="A4" s="2" t="s">
        <v>19</v>
      </c>
      <c r="B4" s="2" t="n">
        <v>12</v>
      </c>
      <c r="C4" s="2" t="n">
        <v>1</v>
      </c>
      <c r="D4" s="6" t="n">
        <f aca="false">IFERROR(XIRR(flows!$C$7:$C$18,flows!$B$7:$B$18),"NUM")</f>
        <v>5.09623547168478</v>
      </c>
      <c r="E4" s="7" t="n">
        <f aca="false">IF(ISNUMBER(D4),IFERROR(XNPV(D4,flows!$C$7:$C$18,flows!$B$7:$B$18),"ERR"),"")</f>
        <v>-8.88178419700125E-016</v>
      </c>
    </row>
    <row r="5" customFormat="false" ht="15" hidden="false" customHeight="false" outlineLevel="0" collapsed="false">
      <c r="A5" s="2" t="s">
        <v>20</v>
      </c>
      <c r="B5" s="2" t="n">
        <v>6</v>
      </c>
      <c r="C5" s="2" t="n">
        <v>1</v>
      </c>
      <c r="D5" s="6" t="n">
        <f aca="false">IFERROR(XIRR(flows!$C$19:$C$24,flows!$B$19:$B$24),"NUM")</f>
        <v>0.0853166389741492</v>
      </c>
      <c r="E5" s="7" t="n">
        <f aca="false">IF(ISNUMBER(D5),IFERROR(XNPV(D5,flows!$C$19:$C$24,flows!$B$19:$B$24),"ERR"),"")</f>
        <v>-3.63797880709171E-012</v>
      </c>
    </row>
    <row r="6" customFormat="false" ht="15" hidden="false" customHeight="false" outlineLevel="0" collapsed="false">
      <c r="A6" s="2" t="s">
        <v>21</v>
      </c>
      <c r="B6" s="2" t="n">
        <v>2</v>
      </c>
      <c r="C6" s="2" t="n">
        <v>1</v>
      </c>
      <c r="D6" s="6" t="n">
        <f aca="false">IFERROR(XIRR(flows!$C$25:$C$26,flows!$B$25:$B$26),"NUM")</f>
        <v>0.149560941120443</v>
      </c>
      <c r="E6" s="7" t="n">
        <f aca="false">IF(ISNUMBER(D6),IFERROR(XNPV(D6,flows!$C$25:$C$26,flows!$B$25:$B$26),"ERR"),"")</f>
        <v>1.13686837721616E-013</v>
      </c>
    </row>
    <row r="7" customFormat="false" ht="15" hidden="false" customHeight="false" outlineLevel="0" collapsed="false">
      <c r="A7" s="2" t="s">
        <v>22</v>
      </c>
      <c r="B7" s="2" t="n">
        <v>2</v>
      </c>
      <c r="C7" s="2" t="n">
        <v>1</v>
      </c>
      <c r="D7" s="6" t="n">
        <f aca="false">IFERROR(XIRR(flows!$C$27:$C$28,flows!$B$27:$B$28),"NUM")</f>
        <v>0.139189971902862</v>
      </c>
      <c r="E7" s="7" t="n">
        <f aca="false">IF(ISNUMBER(D7),IFERROR(XNPV(D7,flows!$C$27:$C$28,flows!$B$27:$B$28),"ERR"),"")</f>
        <v>2.04636307898909E-012</v>
      </c>
    </row>
    <row r="8" customFormat="false" ht="15" hidden="false" customHeight="false" outlineLevel="0" collapsed="false">
      <c r="A8" s="2" t="s">
        <v>23</v>
      </c>
      <c r="B8" s="2" t="n">
        <v>2</v>
      </c>
      <c r="C8" s="2" t="n">
        <v>1</v>
      </c>
      <c r="D8" s="6" t="n">
        <f aca="false">IFERROR(XIRR(flows!$C$29:$C$30,flows!$B$29:$B$30),"NUM")</f>
        <v>0.0813224327534185</v>
      </c>
      <c r="E8" s="7" t="n">
        <f aca="false">IF(ISNUMBER(D8),IFERROR(XNPV(D8,flows!$C$29:$C$30,flows!$B$29:$B$30),"ERR"),"")</f>
        <v>3.41060513164848E-013</v>
      </c>
    </row>
    <row r="9" customFormat="false" ht="15" hidden="false" customHeight="false" outlineLevel="0" collapsed="false">
      <c r="A9" s="2" t="s">
        <v>24</v>
      </c>
      <c r="B9" s="2" t="n">
        <v>2</v>
      </c>
      <c r="C9" s="2" t="n">
        <v>1</v>
      </c>
      <c r="D9" s="6" t="n">
        <f aca="false">IFERROR(XIRR(flows!$C$31:$C$32,flows!$B$31:$B$32),"NUM")</f>
        <v>1050.15319950005</v>
      </c>
      <c r="E9" s="7" t="n">
        <f aca="false">IF(ISNUMBER(D9),IFERROR(XNPV(D9,flows!$C$31:$C$32,flows!$B$31:$B$32),"ERR"),"")</f>
        <v>1.13686837721616E-013</v>
      </c>
    </row>
    <row r="10" customFormat="false" ht="15" hidden="false" customHeight="false" outlineLevel="0" collapsed="false">
      <c r="A10" s="2" t="s">
        <v>25</v>
      </c>
      <c r="B10" s="2" t="n">
        <v>2</v>
      </c>
      <c r="C10" s="2" t="n">
        <v>1</v>
      </c>
      <c r="D10" s="6" t="n">
        <f aca="false">IFERROR(XIRR(flows!$C$33:$C$34,flows!$B$33:$B$34),"NUM")</f>
        <v>0.440251313429554</v>
      </c>
      <c r="E10" s="7" t="n">
        <f aca="false">IF(ISNUMBER(D10),IFERROR(XNPV(D10,flows!$C$33:$C$34,flows!$B$33:$B$34),"ERR"),"")</f>
        <v>1.13686837721616E-013</v>
      </c>
    </row>
    <row r="11" customFormat="false" ht="15" hidden="false" customHeight="false" outlineLevel="0" collapsed="false">
      <c r="A11" s="2" t="s">
        <v>26</v>
      </c>
      <c r="B11" s="2" t="n">
        <v>3</v>
      </c>
      <c r="C11" s="2" t="n">
        <v>1</v>
      </c>
      <c r="D11" s="6" t="n">
        <f aca="false">IFERROR(XIRR(flows!$C$35:$C$37,flows!$B$35:$B$37),"NUM")</f>
        <v>2.7111358904226</v>
      </c>
      <c r="E11" s="7" t="n">
        <f aca="false">IF(ISNUMBER(D11),IFERROR(XNPV(D11,flows!$C$35:$C$37,flows!$B$35:$B$37),"ERR"),"")</f>
        <v>-2.22044604925031E-016</v>
      </c>
    </row>
    <row r="12" customFormat="false" ht="15" hidden="false" customHeight="false" outlineLevel="0" collapsed="false">
      <c r="A12" s="2" t="s">
        <v>27</v>
      </c>
      <c r="B12" s="2" t="n">
        <v>2</v>
      </c>
      <c r="C12" s="2" t="n">
        <v>1</v>
      </c>
      <c r="D12" s="6" t="n">
        <f aca="false">IFERROR(XIRR(flows!$C$38:$C$39,flows!$B$38:$B$39),"NUM")</f>
        <v>9.97267758734327E-008</v>
      </c>
      <c r="E12" s="7" t="n">
        <f aca="false">IF(ISNUMBER(D12),IFERROR(XNPV(D12,flows!$C$38:$C$39,flows!$B$38:$B$39),"ERR"),"")</f>
        <v>-1.13686837721616E-013</v>
      </c>
    </row>
    <row r="13" customFormat="false" ht="15" hidden="false" customHeight="false" outlineLevel="0" collapsed="false">
      <c r="A13" s="2" t="s">
        <v>28</v>
      </c>
      <c r="B13" s="2" t="n">
        <v>2</v>
      </c>
      <c r="C13" s="2" t="n">
        <v>1</v>
      </c>
      <c r="D13" s="6" t="n">
        <f aca="false">IFERROR(XIRR(flows!$C$40:$C$41,flows!$B$40:$B$41),"NUM")</f>
        <v>2.1696731743263E-017</v>
      </c>
      <c r="E13" s="7" t="n">
        <f aca="false">IF(ISNUMBER(D13),IFERROR(XNPV(D13,flows!$C$40:$C$41,flows!$B$40:$B$41),"ERR"),"")</f>
        <v>0</v>
      </c>
    </row>
    <row r="14" customFormat="false" ht="15" hidden="false" customHeight="false" outlineLevel="0" collapsed="false">
      <c r="A14" s="2" t="s">
        <v>29</v>
      </c>
      <c r="B14" s="2" t="n">
        <v>2</v>
      </c>
      <c r="C14" s="2" t="n">
        <v>1</v>
      </c>
      <c r="D14" s="6" t="n">
        <f aca="false">IFERROR(XIRR(flows!$C$42:$C$43,flows!$B$42:$B$43),"NUM")</f>
        <v>-9.9726775946031E-008</v>
      </c>
      <c r="E14" s="7" t="n">
        <f aca="false">IF(ISNUMBER(D14),IFERROR(XNPV(D14,flows!$C$42:$C$43,flows!$B$42:$B$43),"ERR"),"")</f>
        <v>0</v>
      </c>
    </row>
    <row r="15" customFormat="false" ht="15" hidden="false" customHeight="false" outlineLevel="0" collapsed="false">
      <c r="A15" s="2" t="s">
        <v>30</v>
      </c>
      <c r="B15" s="2" t="n">
        <v>2</v>
      </c>
      <c r="C15" s="2" t="n">
        <v>1</v>
      </c>
      <c r="D15" s="6" t="str">
        <f aca="false">IFERROR(XIRR(flows!$C$44:$C$45,flows!$B$44:$B$45),"NUM")</f>
        <v>NUM</v>
      </c>
      <c r="E15" s="7" t="str">
        <f aca="false">IF(ISNUMBER(D15),IFERROR(XNPV(D15,flows!$C$44:$C$45,flows!$B$44:$B$45),"ERR"),"")</f>
        <v/>
      </c>
    </row>
    <row r="16" customFormat="false" ht="15" hidden="false" customHeight="false" outlineLevel="0" collapsed="false">
      <c r="A16" s="2" t="s">
        <v>31</v>
      </c>
      <c r="B16" s="2" t="n">
        <v>3</v>
      </c>
      <c r="C16" s="2" t="n">
        <v>1</v>
      </c>
      <c r="D16" s="6" t="n">
        <f aca="false">IFERROR(XIRR(flows!$C$46:$C$48,flows!$B$46:$B$48),"NUM")</f>
        <v>-0.814427443701518</v>
      </c>
      <c r="E16" s="7" t="n">
        <f aca="false">IF(ISNUMBER(D16),IFERROR(XNPV(D16,flows!$C$46:$C$48,flows!$B$46:$B$48),"ERR"),"")</f>
        <v>0</v>
      </c>
    </row>
    <row r="17" customFormat="false" ht="15" hidden="false" customHeight="false" outlineLevel="0" collapsed="false">
      <c r="A17" s="2" t="s">
        <v>32</v>
      </c>
      <c r="B17" s="2" t="n">
        <v>3</v>
      </c>
      <c r="C17" s="2" t="n">
        <v>2</v>
      </c>
      <c r="D17" s="6" t="n">
        <f aca="false">IFERROR(XIRR(flows!$C$49:$C$51,flows!$B$49:$B$51),"NUM")</f>
        <v>0.10339792770066</v>
      </c>
      <c r="E17" s="7" t="n">
        <f aca="false">IF(ISNUMBER(D17),IFERROR(XNPV(D17,flows!$C$49:$C$51,flows!$B$49:$B$51),"ERR"),"")</f>
        <v>2.8421709430404E-014</v>
      </c>
    </row>
    <row r="18" customFormat="false" ht="15" hidden="false" customHeight="false" outlineLevel="0" collapsed="false">
      <c r="A18" s="2" t="s">
        <v>33</v>
      </c>
      <c r="B18" s="2" t="n">
        <v>3</v>
      </c>
      <c r="C18" s="2" t="n">
        <v>2</v>
      </c>
      <c r="D18" s="6" t="n">
        <f aca="false">IFERROR(XIRR(flows!$C$52:$C$54,flows!$B$52:$B$54),"NUM")</f>
        <v>-0.702405493219969</v>
      </c>
      <c r="E18" s="7" t="n">
        <f aca="false">IF(ISNUMBER(D18),IFERROR(XNPV(D18,flows!$C$52:$C$54,flows!$B$52:$B$54),"ERR"),"")</f>
        <v>0</v>
      </c>
    </row>
    <row r="19" customFormat="false" ht="15" hidden="false" customHeight="false" outlineLevel="0" collapsed="false">
      <c r="A19" s="2" t="s">
        <v>34</v>
      </c>
      <c r="B19" s="2" t="n">
        <v>4</v>
      </c>
      <c r="C19" s="2" t="n">
        <v>3</v>
      </c>
      <c r="D19" s="6" t="n">
        <f aca="false">IFERROR(XIRR(flows!$C$55:$C$58,flows!$B$55:$B$58),"NUM")</f>
        <v>-0.571885951525731</v>
      </c>
      <c r="E19" s="7" t="n">
        <f aca="false">IF(ISNUMBER(D19),IFERROR(XNPV(D19,flows!$C$55:$C$58,flows!$B$55:$B$58),"ERR"),"")</f>
        <v>-1.81898940354586E-012</v>
      </c>
    </row>
    <row r="20" customFormat="false" ht="15" hidden="false" customHeight="false" outlineLevel="0" collapsed="false">
      <c r="A20" s="2" t="s">
        <v>35</v>
      </c>
      <c r="B20" s="2" t="n">
        <v>4</v>
      </c>
      <c r="C20" s="2" t="n">
        <v>3</v>
      </c>
      <c r="D20" s="6" t="n">
        <f aca="false">IFERROR(XIRR(flows!$C$59:$C$62,flows!$B$59:$B$62),"NUM")</f>
        <v>2.48255480191197</v>
      </c>
      <c r="E20" s="7" t="n">
        <f aca="false">IF(ISNUMBER(D20),IFERROR(XNPV(D20,flows!$C$59:$C$62,flows!$B$59:$B$62),"ERR"),"")</f>
        <v>-1.4210854715202E-014</v>
      </c>
    </row>
    <row r="21" customFormat="false" ht="15" hidden="false" customHeight="false" outlineLevel="0" collapsed="false">
      <c r="A21" s="2" t="s">
        <v>36</v>
      </c>
      <c r="B21" s="2" t="n">
        <v>5</v>
      </c>
      <c r="C21" s="2" t="n">
        <v>4</v>
      </c>
      <c r="D21" s="6" t="n">
        <f aca="false">IFERROR(XIRR(flows!$C$63:$C$67,flows!$B$63:$B$67),"NUM")</f>
        <v>-0.964287115695322</v>
      </c>
      <c r="E21" s="7" t="n">
        <f aca="false">IF(ISNUMBER(D21),IFERROR(XNPV(D21,flows!$C$63:$C$67,flows!$B$63:$B$67),"ERR"),"")</f>
        <v>0</v>
      </c>
    </row>
    <row r="22" customFormat="false" ht="15" hidden="false" customHeight="false" outlineLevel="0" collapsed="false">
      <c r="A22" s="2" t="s">
        <v>37</v>
      </c>
      <c r="B22" s="2" t="n">
        <v>4</v>
      </c>
      <c r="C22" s="2" t="n">
        <v>3</v>
      </c>
      <c r="D22" s="6" t="n">
        <f aca="false">IFERROR(XIRR(flows!$C$68:$C$71,flows!$B$68:$B$71),"NUM")</f>
        <v>0.130087462196502</v>
      </c>
      <c r="E22" s="7" t="n">
        <f aca="false">IF(ISNUMBER(D22),IFERROR(XNPV(D22,flows!$C$68:$C$71,flows!$B$68:$B$71),"ERR"),"")</f>
        <v>2.27373675443232E-013</v>
      </c>
    </row>
    <row r="23" customFormat="false" ht="15" hidden="false" customHeight="false" outlineLevel="0" collapsed="false">
      <c r="A23" s="2" t="s">
        <v>38</v>
      </c>
      <c r="B23" s="2" t="n">
        <v>3</v>
      </c>
      <c r="C23" s="2" t="n">
        <v>1</v>
      </c>
      <c r="D23" s="6" t="n">
        <f aca="false">IFERROR(XIRR(flows!$C$72:$C$74,flows!$B$72:$B$74),"NUM")</f>
        <v>0.175009264615451</v>
      </c>
      <c r="E23" s="7" t="n">
        <f aca="false">IF(ISNUMBER(D23),IFERROR(XNPV(D23,flows!$C$72:$C$74,flows!$B$72:$B$74),"ERR"),"")</f>
        <v>0</v>
      </c>
    </row>
    <row r="24" customFormat="false" ht="15" hidden="false" customHeight="false" outlineLevel="0" collapsed="false">
      <c r="A24" s="2" t="s">
        <v>39</v>
      </c>
      <c r="B24" s="2" t="n">
        <v>4</v>
      </c>
      <c r="C24" s="2" t="n">
        <v>3</v>
      </c>
      <c r="D24" s="6" t="n">
        <f aca="false">IFERROR(XIRR(flows!$C$75:$C$78,flows!$B$75:$B$78),"NUM")</f>
        <v>2.46469073399073</v>
      </c>
      <c r="E24" s="7" t="n">
        <f aca="false">IF(ISNUMBER(D24),IFERROR(XNPV(D24,flows!$C$75:$C$78,flows!$B$75:$B$78),"ERR"),"")</f>
        <v>-1.98951966012828E-013</v>
      </c>
    </row>
    <row r="25" customFormat="false" ht="15" hidden="false" customHeight="false" outlineLevel="0" collapsed="false">
      <c r="A25" s="2" t="s">
        <v>40</v>
      </c>
      <c r="B25" s="2" t="n">
        <v>3</v>
      </c>
      <c r="C25" s="2" t="n">
        <v>1</v>
      </c>
      <c r="D25" s="6" t="n">
        <f aca="false">IFERROR(XIRR(flows!$C$79:$C$81,flows!$B$79:$B$81),"NUM")</f>
        <v>0.175009264615451</v>
      </c>
      <c r="E25" s="7" t="n">
        <f aca="false">IF(ISNUMBER(D25),IFERROR(XNPV(D25,flows!$C$79:$C$81,flows!$B$79:$B$81),"ERR"),"")</f>
        <v>-2.3283064365387E-010</v>
      </c>
    </row>
    <row r="26" customFormat="false" ht="15" hidden="false" customHeight="false" outlineLevel="0" collapsed="false">
      <c r="A26" s="2" t="s">
        <v>41</v>
      </c>
      <c r="B26" s="2" t="n">
        <v>4</v>
      </c>
      <c r="C26" s="2" t="n">
        <v>3</v>
      </c>
      <c r="D26" s="6" t="n">
        <f aca="false">IFERROR(XIRR(flows!$C$82:$C$85,flows!$B$82:$B$85),"NUM")</f>
        <v>2.46469073399073</v>
      </c>
      <c r="E26" s="7" t="n">
        <f aca="false">IF(ISNUMBER(D26),IFERROR(XNPV(D26,flows!$C$82:$C$85,flows!$B$82:$B$85),"ERR"),"")</f>
        <v>2.03726813197136E-010</v>
      </c>
    </row>
    <row r="27" customFormat="false" ht="15" hidden="false" customHeight="false" outlineLevel="0" collapsed="false">
      <c r="A27" s="2" t="s">
        <v>42</v>
      </c>
      <c r="B27" s="2" t="n">
        <v>3</v>
      </c>
      <c r="C27" s="2" t="n">
        <v>1</v>
      </c>
      <c r="D27" s="6" t="n">
        <f aca="false">IFERROR(XIRR(flows!$C$86:$C$88,flows!$B$86:$B$88),"NUM")</f>
        <v>0.175009264615451</v>
      </c>
      <c r="E27" s="7" t="n">
        <f aca="false">IF(ISNUMBER(D27),IFERROR(XNPV(D27,flows!$C$86:$C$88,flows!$B$86:$B$88),"ERR"),"")</f>
        <v>0</v>
      </c>
    </row>
    <row r="28" customFormat="false" ht="15" hidden="false" customHeight="false" outlineLevel="0" collapsed="false">
      <c r="A28" s="2" t="s">
        <v>43</v>
      </c>
      <c r="B28" s="2" t="n">
        <v>4</v>
      </c>
      <c r="C28" s="2" t="n">
        <v>3</v>
      </c>
      <c r="D28" s="6" t="n">
        <f aca="false">IFERROR(XIRR(flows!$C$89:$C$92,flows!$B$89:$B$92),"NUM")</f>
        <v>2.46469073399073</v>
      </c>
      <c r="E28" s="7" t="n">
        <f aca="false">IF(ISNUMBER(D28),IFERROR(XNPV(D28,flows!$C$89:$C$92,flows!$B$89:$B$92),"ERR"),"")</f>
        <v>4.4703483581543E-008</v>
      </c>
    </row>
    <row r="29" customFormat="false" ht="15" hidden="false" customHeight="false" outlineLevel="0" collapsed="false">
      <c r="A29" s="2" t="s">
        <v>44</v>
      </c>
      <c r="B29" s="2" t="n">
        <v>3</v>
      </c>
      <c r="C29" s="2" t="n">
        <v>1</v>
      </c>
      <c r="D29" s="6" t="n">
        <f aca="false">IFERROR(XIRR(flows!$C$93:$C$95,flows!$B$93:$B$95),"NUM")</f>
        <v>0.175009264615451</v>
      </c>
      <c r="E29" s="7" t="n">
        <f aca="false">IF(ISNUMBER(D29),IFERROR(XNPV(D29,flows!$C$93:$C$95,flows!$B$93:$B$95),"ERR"),"")</f>
        <v>-6.103515625E-005</v>
      </c>
    </row>
    <row r="30" customFormat="false" ht="15" hidden="false" customHeight="false" outlineLevel="0" collapsed="false">
      <c r="A30" s="2" t="s">
        <v>45</v>
      </c>
      <c r="B30" s="2" t="n">
        <v>4</v>
      </c>
      <c r="C30" s="2" t="n">
        <v>3</v>
      </c>
      <c r="D30" s="6" t="n">
        <f aca="false">IFERROR(XIRR(flows!$C$96:$C$99,flows!$B$96:$B$99),"NUM")</f>
        <v>2.46469073399073</v>
      </c>
      <c r="E30" s="7" t="n">
        <f aca="false">IF(ISNUMBER(D30),IFERROR(XNPV(D30,flows!$C$96:$C$99,flows!$B$96:$B$99),"ERR"),"")</f>
        <v>0.00016021728515625</v>
      </c>
    </row>
    <row r="31" customFormat="false" ht="15" hidden="false" customHeight="false" outlineLevel="0" collapsed="false">
      <c r="A31" s="2" t="s">
        <v>46</v>
      </c>
      <c r="B31" s="2" t="n">
        <v>3</v>
      </c>
      <c r="C31" s="2" t="n">
        <v>1</v>
      </c>
      <c r="D31" s="6" t="n">
        <f aca="false">IFERROR(XIRR(flows!$C$100:$C$102,flows!$B$100:$B$102),"NUM")</f>
        <v>0.175009264615451</v>
      </c>
      <c r="E31" s="7" t="n">
        <f aca="false">IF(ISNUMBER(D31),IFERROR(XNPV(D31,flows!$C$100:$C$102,flows!$B$100:$B$102),"ERR"),"")</f>
        <v>0.25</v>
      </c>
    </row>
    <row r="32" customFormat="false" ht="15" hidden="false" customHeight="false" outlineLevel="0" collapsed="false">
      <c r="A32" s="2" t="s">
        <v>47</v>
      </c>
      <c r="B32" s="2" t="n">
        <v>4</v>
      </c>
      <c r="C32" s="2" t="n">
        <v>3</v>
      </c>
      <c r="D32" s="6" t="n">
        <f aca="false">IFERROR(XIRR(flows!$C$103:$C$106,flows!$B$103:$B$106),"NUM")</f>
        <v>2.46469073399073</v>
      </c>
      <c r="E32" s="7" t="n">
        <f aca="false">IF(ISNUMBER(D32),IFERROR(XNPV(D32,flows!$C$103:$C$106,flows!$B$103:$B$106),"ERR"),"")</f>
        <v>-0.0390625</v>
      </c>
    </row>
    <row r="33" customFormat="false" ht="15" hidden="false" customHeight="false" outlineLevel="0" collapsed="false">
      <c r="A33" s="2" t="s">
        <v>48</v>
      </c>
      <c r="B33" s="2" t="n">
        <v>2</v>
      </c>
      <c r="C33" s="2" t="n">
        <v>1</v>
      </c>
      <c r="D33" s="6" t="n">
        <f aca="false">IFERROR(XIRR(flows!$C$107:$C$108,flows!$B$107:$B$108),"NUM")</f>
        <v>0.249238129980015</v>
      </c>
      <c r="E33" s="7" t="n">
        <f aca="false">IF(ISNUMBER(D33),IFERROR(XNPV(D33,flows!$C$107:$C$108,flows!$B$107:$B$108),"ERR"),"")</f>
        <v>0</v>
      </c>
    </row>
    <row r="34" customFormat="false" ht="15" hidden="false" customHeight="false" outlineLevel="0" collapsed="false">
      <c r="A34" s="2" t="s">
        <v>49</v>
      </c>
      <c r="B34" s="2" t="n">
        <v>4</v>
      </c>
      <c r="C34" s="2" t="n">
        <v>0</v>
      </c>
      <c r="D34" s="6" t="n">
        <f aca="false">IFERROR(XIRR(flows!$C$109:$C$112,flows!$B$109:$B$112),"NUM")</f>
        <v>0.139970832454085</v>
      </c>
      <c r="E34" s="7" t="n">
        <f aca="false">IF(ISNUMBER(D34),IFERROR(XNPV(D34,flows!$C$109:$C$112,flows!$B$109:$B$112),"ERR"),"")</f>
        <v>0</v>
      </c>
    </row>
    <row r="35" customFormat="false" ht="15" hidden="false" customHeight="false" outlineLevel="0" collapsed="false">
      <c r="A35" s="2" t="s">
        <v>50</v>
      </c>
      <c r="B35" s="2" t="n">
        <v>3</v>
      </c>
      <c r="C35" s="2" t="n">
        <v>1</v>
      </c>
      <c r="D35" s="6" t="n">
        <f aca="false">IFERROR(XIRR(flows!$C$113:$C$115,flows!$B$113:$B$115),"NUM")</f>
        <v>0.139970832454085</v>
      </c>
      <c r="E35" s="7" t="n">
        <f aca="false">IF(ISNUMBER(D35),IFERROR(XNPV(D35,flows!$C$113:$C$115,flows!$B$113:$B$115),"ERR"),"")</f>
        <v>0</v>
      </c>
    </row>
    <row r="36" customFormat="false" ht="15" hidden="false" customHeight="false" outlineLevel="0" collapsed="false">
      <c r="A36" s="2" t="s">
        <v>51</v>
      </c>
      <c r="B36" s="2" t="n">
        <v>60</v>
      </c>
      <c r="C36" s="2" t="n">
        <v>1</v>
      </c>
      <c r="D36" s="6" t="n">
        <f aca="false">IFERROR(XIRR(flows!$C$116:$C$175,flows!$B$116:$B$175),"NUM")</f>
        <v>0.012937936897914</v>
      </c>
      <c r="E36" s="7" t="n">
        <f aca="false">IF(ISNUMBER(D36),IFERROR(XNPV(D36,flows!$C$116:$C$175,flows!$B$116:$B$175),"ERR"),"")</f>
        <v>1.53477230924182E-012</v>
      </c>
    </row>
    <row r="37" customFormat="false" ht="15" hidden="false" customHeight="false" outlineLevel="0" collapsed="false">
      <c r="A37" s="2" t="s">
        <v>52</v>
      </c>
      <c r="B37" s="2" t="n">
        <v>3</v>
      </c>
      <c r="C37" s="2" t="n">
        <v>1</v>
      </c>
      <c r="D37" s="6" t="n">
        <f aca="false">IFERROR(XIRR(flows!$C$176:$C$178,flows!$B$176:$B$178),"NUM")</f>
        <v>0.199402373269094</v>
      </c>
      <c r="E37" s="7" t="n">
        <f aca="false">IF(ISNUMBER(D37),IFERROR(XNPV(D37,flows!$C$176:$C$178,flows!$B$176:$B$178),"ERR"),"")</f>
        <v>0</v>
      </c>
    </row>
    <row r="38" customFormat="false" ht="15" hidden="false" customHeight="false" outlineLevel="0" collapsed="false">
      <c r="A38" s="2" t="s">
        <v>53</v>
      </c>
      <c r="B38" s="2" t="n">
        <v>3</v>
      </c>
      <c r="C38" s="2" t="n">
        <v>1</v>
      </c>
      <c r="D38" s="6" t="str">
        <f aca="false">IFERROR(XIRR(flows!$C$179:$C$181,flows!$B$179:$B$181),"NUM")</f>
        <v>NUM</v>
      </c>
      <c r="E38" s="7" t="str">
        <f aca="false">IF(ISNUMBER(D38),IFERROR(XNPV(D38,flows!$C$179:$C$181,flows!$B$179:$B$181),"ERR"),"")</f>
        <v/>
      </c>
    </row>
    <row r="39" customFormat="false" ht="15" hidden="false" customHeight="false" outlineLevel="0" collapsed="false">
      <c r="A39" s="2" t="s">
        <v>54</v>
      </c>
      <c r="B39" s="2" t="n">
        <v>3</v>
      </c>
      <c r="C39" s="2" t="n">
        <v>1</v>
      </c>
      <c r="D39" s="6" t="n">
        <f aca="false">IFERROR(XIRR(flows!$C$182:$C$184,flows!$B$182:$B$184),"NUM")</f>
        <v>93313688206.6781</v>
      </c>
      <c r="E39" s="7" t="n">
        <f aca="false">IF(ISNUMBER(D39),IFERROR(XNPV(D39,flows!$C$182:$C$184,flows!$B$182:$B$184),"ERR"),"")</f>
        <v>1.90798406533767E-017</v>
      </c>
    </row>
    <row r="40" customFormat="false" ht="15" hidden="false" customHeight="false" outlineLevel="0" collapsed="false">
      <c r="A40" s="2" t="s">
        <v>55</v>
      </c>
      <c r="B40" s="2" t="n">
        <v>4</v>
      </c>
      <c r="C40" s="2" t="n">
        <v>2</v>
      </c>
      <c r="D40" s="6" t="str">
        <f aca="false">IFERROR(XIRR(flows!$C$185:$C$188,flows!$B$185:$B$188),"NUM")</f>
        <v>NUM</v>
      </c>
      <c r="E40" s="7" t="str">
        <f aca="false">IF(ISNUMBER(D40),IFERROR(XNPV(D40,flows!$C$185:$C$188,flows!$B$185:$B$188),"ERR"),"")</f>
        <v/>
      </c>
    </row>
    <row r="41" customFormat="false" ht="15" hidden="false" customHeight="false" outlineLevel="0" collapsed="false">
      <c r="A41" s="2" t="s">
        <v>56</v>
      </c>
      <c r="B41" s="2" t="n">
        <v>8</v>
      </c>
      <c r="C41" s="2" t="n">
        <v>3</v>
      </c>
      <c r="D41" s="6" t="n">
        <f aca="false">IFERROR(XIRR(flows!$C$189:$C$196,flows!$B$189:$B$196),"NUM")</f>
        <v>0.263018253185422</v>
      </c>
      <c r="E41" s="7" t="n">
        <f aca="false">IF(ISNUMBER(D41),IFERROR(XNPV(D41,flows!$C$189:$C$196,flows!$B$189:$B$196),"ERR"),"")</f>
        <v>2.27373675443232E-013</v>
      </c>
    </row>
    <row r="42" customFormat="false" ht="15" hidden="false" customHeight="false" outlineLevel="0" collapsed="false">
      <c r="A42" s="2" t="s">
        <v>57</v>
      </c>
      <c r="B42" s="2" t="n">
        <v>3</v>
      </c>
      <c r="C42" s="2" t="n">
        <v>1</v>
      </c>
      <c r="D42" s="6" t="n">
        <f aca="false">IFERROR(XIRR(flows!$C$197:$C$199,flows!$B$197:$B$199),"NUM")</f>
        <v>-0.424266323867882</v>
      </c>
      <c r="E42" s="7" t="n">
        <f aca="false">IF(ISNUMBER(D42),IFERROR(XNPV(D42,flows!$C$197:$C$199,flows!$B$197:$B$199),"ERR"),"")</f>
        <v>0</v>
      </c>
    </row>
    <row r="43" customFormat="false" ht="15" hidden="false" customHeight="false" outlineLevel="0" collapsed="false">
      <c r="A43" s="2" t="s">
        <v>58</v>
      </c>
      <c r="B43" s="2" t="n">
        <v>3</v>
      </c>
      <c r="C43" s="2" t="n">
        <v>1</v>
      </c>
      <c r="D43" s="6" t="n">
        <f aca="false">IFERROR(XIRR(flows!$C$200:$C$202,flows!$B$200:$B$202),"NUM")</f>
        <v>-0.830316454067065</v>
      </c>
      <c r="E43" s="7" t="n">
        <f aca="false">IF(ISNUMBER(D43),IFERROR(XNPV(D43,flows!$C$200:$C$202,flows!$B$200:$B$202),"ERR"),"")</f>
        <v>3.63797880709171E-012</v>
      </c>
    </row>
    <row r="44" customFormat="false" ht="15" hidden="false" customHeight="false" outlineLevel="0" collapsed="false">
      <c r="A44" s="2" t="s">
        <v>59</v>
      </c>
      <c r="B44" s="2" t="n">
        <v>7</v>
      </c>
      <c r="C44" s="2" t="n">
        <v>3</v>
      </c>
      <c r="D44" s="6" t="n">
        <f aca="false">IFERROR(XIRR(flows!$C$203:$C$209,flows!$B$203:$B$209),"NUM")</f>
        <v>-0.152070465084561</v>
      </c>
      <c r="E44" s="7" t="n">
        <f aca="false">IF(ISNUMBER(D44),IFERROR(XNPV(D44,flows!$C$203:$C$209,flows!$B$203:$B$209),"ERR"),"")</f>
        <v>0</v>
      </c>
    </row>
    <row r="45" customFormat="false" ht="15" hidden="false" customHeight="false" outlineLevel="0" collapsed="false">
      <c r="A45" s="2" t="s">
        <v>60</v>
      </c>
      <c r="B45" s="2" t="n">
        <v>5</v>
      </c>
      <c r="C45" s="2" t="n">
        <v>1</v>
      </c>
      <c r="D45" s="6" t="n">
        <f aca="false">IFERROR(XIRR(flows!$C$210:$C$214,flows!$B$210:$B$214),"NUM")</f>
        <v>0.215757396336504</v>
      </c>
      <c r="E45" s="7" t="n">
        <f aca="false">IF(ISNUMBER(D45),IFERROR(XNPV(D45,flows!$C$210:$C$214,flows!$B$210:$B$214),"ERR"),"")</f>
        <v>-4.54747350886464E-013</v>
      </c>
    </row>
    <row r="46" customFormat="false" ht="15" hidden="false" customHeight="false" outlineLevel="0" collapsed="false">
      <c r="A46" s="2" t="s">
        <v>61</v>
      </c>
      <c r="B46" s="2" t="n">
        <v>6</v>
      </c>
      <c r="C46" s="2" t="n">
        <v>2</v>
      </c>
      <c r="D46" s="6" t="str">
        <f aca="false">IFERROR(XIRR(flows!$C$215:$C$220,flows!$B$215:$B$220),"NUM")</f>
        <v>NUM</v>
      </c>
      <c r="E46" s="7" t="str">
        <f aca="false">IF(ISNUMBER(D46),IFERROR(XNPV(D46,flows!$C$215:$C$220,flows!$B$215:$B$220),"ERR"),"")</f>
        <v/>
      </c>
    </row>
    <row r="47" customFormat="false" ht="15" hidden="false" customHeight="false" outlineLevel="0" collapsed="false">
      <c r="A47" s="2" t="s">
        <v>62</v>
      </c>
      <c r="B47" s="2" t="n">
        <v>7</v>
      </c>
      <c r="C47" s="2" t="n">
        <v>2</v>
      </c>
      <c r="D47" s="6" t="str">
        <f aca="false">IFERROR(XIRR(flows!$C$221:$C$227,flows!$B$221:$B$227),"NUM")</f>
        <v>NUM</v>
      </c>
      <c r="E47" s="7" t="str">
        <f aca="false">IF(ISNUMBER(D47),IFERROR(XNPV(D47,flows!$C$221:$C$227,flows!$B$221:$B$227),"ERR"),"")</f>
        <v/>
      </c>
    </row>
    <row r="48" customFormat="false" ht="15" hidden="false" customHeight="false" outlineLevel="0" collapsed="false">
      <c r="A48" s="2" t="s">
        <v>63</v>
      </c>
      <c r="B48" s="2" t="n">
        <v>7</v>
      </c>
      <c r="C48" s="2" t="n">
        <v>3</v>
      </c>
      <c r="D48" s="6" t="n">
        <f aca="false">IFERROR(XIRR(flows!$C$228:$C$234,flows!$B$228:$B$234),"NUM")</f>
        <v>0.615472411875153</v>
      </c>
      <c r="E48" s="7" t="n">
        <f aca="false">IF(ISNUMBER(D48),IFERROR(XNPV(D48,flows!$C$228:$C$234,flows!$B$228:$B$234),"ERR"),"")</f>
        <v>-1.13686837721616E-012</v>
      </c>
    </row>
    <row r="49" customFormat="false" ht="15" hidden="false" customHeight="false" outlineLevel="0" collapsed="false">
      <c r="A49" s="2" t="s">
        <v>64</v>
      </c>
      <c r="B49" s="2" t="n">
        <v>4</v>
      </c>
      <c r="C49" s="2" t="n">
        <v>1</v>
      </c>
      <c r="D49" s="6" t="n">
        <f aca="false">IFERROR(XIRR(flows!$C$235:$C$238,flows!$B$235:$B$238),"NUM")</f>
        <v>2.03401959207609</v>
      </c>
      <c r="E49" s="7" t="n">
        <f aca="false">IF(ISNUMBER(D49),IFERROR(XNPV(D49,flows!$C$235:$C$238,flows!$B$235:$B$238),"ERR"),"")</f>
        <v>1.98951966012828E-013</v>
      </c>
    </row>
    <row r="50" customFormat="false" ht="15" hidden="false" customHeight="false" outlineLevel="0" collapsed="false">
      <c r="A50" s="2" t="s">
        <v>65</v>
      </c>
      <c r="B50" s="2" t="n">
        <v>7</v>
      </c>
      <c r="C50" s="2" t="n">
        <v>3</v>
      </c>
      <c r="D50" s="6" t="n">
        <f aca="false">IFERROR(XIRR(flows!$C$239:$C$245,flows!$B$239:$B$245),"NUM")</f>
        <v>0.824552509599075</v>
      </c>
      <c r="E50" s="7" t="n">
        <f aca="false">IF(ISNUMBER(D50),IFERROR(XNPV(D50,flows!$C$239:$C$245,flows!$B$239:$B$245),"ERR"),"")</f>
        <v>-2.27373675443232E-013</v>
      </c>
    </row>
    <row r="51" customFormat="false" ht="15" hidden="false" customHeight="false" outlineLevel="0" collapsed="false">
      <c r="A51" s="2" t="s">
        <v>66</v>
      </c>
      <c r="B51" s="2" t="n">
        <v>8</v>
      </c>
      <c r="C51" s="2" t="n">
        <v>3</v>
      </c>
      <c r="D51" s="6" t="n">
        <f aca="false">IFERROR(XIRR(flows!$C$246:$C$253,flows!$B$246:$B$253),"NUM")</f>
        <v>-0.236284226440645</v>
      </c>
      <c r="E51" s="7" t="n">
        <f aca="false">IF(ISNUMBER(D51),IFERROR(XNPV(D51,flows!$C$246:$C$253,flows!$B$246:$B$253),"ERR"),"")</f>
        <v>1.81898940354586E-012</v>
      </c>
    </row>
    <row r="52" customFormat="false" ht="15" hidden="false" customHeight="false" outlineLevel="0" collapsed="false">
      <c r="A52" s="2" t="s">
        <v>67</v>
      </c>
      <c r="B52" s="2" t="n">
        <v>7</v>
      </c>
      <c r="C52" s="2" t="n">
        <v>4</v>
      </c>
      <c r="D52" s="6" t="n">
        <f aca="false">IFERROR(XIRR(flows!$C$254:$C$260,flows!$B$254:$B$260),"NUM")</f>
        <v>9.70538884108475</v>
      </c>
      <c r="E52" s="7" t="n">
        <f aca="false">IF(ISNUMBER(D52),IFERROR(XNPV(D52,flows!$C$254:$C$260,flows!$B$254:$B$260),"ERR"),"")</f>
        <v>-4.57637400197442E-014</v>
      </c>
    </row>
    <row r="53" customFormat="false" ht="15" hidden="false" customHeight="false" outlineLevel="0" collapsed="false">
      <c r="A53" s="2" t="s">
        <v>68</v>
      </c>
      <c r="B53" s="2" t="n">
        <v>4</v>
      </c>
      <c r="C53" s="2" t="n">
        <v>2</v>
      </c>
      <c r="D53" s="6" t="n">
        <f aca="false">IFERROR(XIRR(flows!$C$261:$C$264,flows!$B$261:$B$264),"NUM")</f>
        <v>-0.113244361467812</v>
      </c>
      <c r="E53" s="7" t="n">
        <f aca="false">IF(ISNUMBER(D53),IFERROR(XNPV(D53,flows!$C$261:$C$264,flows!$B$261:$B$264),"ERR"),"")</f>
        <v>-5.6843418860808E-013</v>
      </c>
    </row>
    <row r="54" customFormat="false" ht="15" hidden="false" customHeight="false" outlineLevel="0" collapsed="false">
      <c r="A54" s="2" t="s">
        <v>69</v>
      </c>
      <c r="B54" s="2" t="n">
        <v>7</v>
      </c>
      <c r="C54" s="2" t="n">
        <v>3</v>
      </c>
      <c r="D54" s="6" t="n">
        <f aca="false">IFERROR(XIRR(flows!$C$265:$C$271,flows!$B$265:$B$271),"NUM")</f>
        <v>0.0721533213811532</v>
      </c>
      <c r="E54" s="7" t="n">
        <f aca="false">IF(ISNUMBER(D54),IFERROR(XNPV(D54,flows!$C$265:$C$271,flows!$B$265:$B$271),"ERR"),"")</f>
        <v>4.54747350886464E-013</v>
      </c>
    </row>
    <row r="55" customFormat="false" ht="15" hidden="false" customHeight="false" outlineLevel="0" collapsed="false">
      <c r="A55" s="2" t="s">
        <v>70</v>
      </c>
      <c r="B55" s="2" t="n">
        <v>8</v>
      </c>
      <c r="C55" s="2" t="n">
        <v>4</v>
      </c>
      <c r="D55" s="6" t="n">
        <f aca="false">IFERROR(XIRR(flows!$C$272:$C$279,flows!$B$272:$B$279),"NUM")</f>
        <v>0.126225025704608</v>
      </c>
      <c r="E55" s="7" t="n">
        <f aca="false">IF(ISNUMBER(D55),IFERROR(XNPV(D55,flows!$C$272:$C$279,flows!$B$272:$B$279),"ERR"),"")</f>
        <v>-2.41584530158434E-013</v>
      </c>
    </row>
    <row r="56" customFormat="false" ht="15" hidden="false" customHeight="false" outlineLevel="0" collapsed="false">
      <c r="A56" s="2" t="s">
        <v>71</v>
      </c>
      <c r="B56" s="2" t="n">
        <v>3</v>
      </c>
      <c r="C56" s="2" t="n">
        <v>2</v>
      </c>
      <c r="D56" s="6" t="n">
        <f aca="false">IFERROR(XIRR(flows!$C$280:$C$282,flows!$B$280:$B$282),"NUM")</f>
        <v>2.10891469328739</v>
      </c>
      <c r="E56" s="7" t="n">
        <f aca="false">IF(ISNUMBER(D56),IFERROR(XNPV(D56,flows!$C$280:$C$282,flows!$B$280:$B$282),"ERR"),"")</f>
        <v>-1.70530256582424E-013</v>
      </c>
    </row>
    <row r="57" customFormat="false" ht="15" hidden="false" customHeight="false" outlineLevel="0" collapsed="false">
      <c r="A57" s="2" t="s">
        <v>72</v>
      </c>
      <c r="B57" s="2" t="n">
        <v>6</v>
      </c>
      <c r="C57" s="2" t="n">
        <v>2</v>
      </c>
      <c r="D57" s="6" t="str">
        <f aca="false">IFERROR(XIRR(flows!$C$283:$C$288,flows!$B$283:$B$288),"NUM")</f>
        <v>NUM</v>
      </c>
      <c r="E57" s="7" t="str">
        <f aca="false">IF(ISNUMBER(D57),IFERROR(XNPV(D57,flows!$C$283:$C$288,flows!$B$283:$B$288),"ERR"),"")</f>
        <v/>
      </c>
    </row>
    <row r="58" customFormat="false" ht="15" hidden="false" customHeight="false" outlineLevel="0" collapsed="false">
      <c r="A58" s="2" t="s">
        <v>73</v>
      </c>
      <c r="B58" s="2" t="n">
        <v>5</v>
      </c>
      <c r="C58" s="2" t="n">
        <v>4</v>
      </c>
      <c r="D58" s="6" t="n">
        <f aca="false">IFERROR(XIRR(flows!$C$289:$C$293,flows!$B$289:$B$293),"NUM")</f>
        <v>-0.845104607128306</v>
      </c>
      <c r="E58" s="7" t="n">
        <f aca="false">IF(ISNUMBER(D58),IFERROR(XNPV(D58,flows!$C$289:$C$293,flows!$B$289:$B$293),"ERR"),"")</f>
        <v>0</v>
      </c>
    </row>
    <row r="59" customFormat="false" ht="15" hidden="false" customHeight="false" outlineLevel="0" collapsed="false">
      <c r="A59" s="2" t="s">
        <v>74</v>
      </c>
      <c r="B59" s="2" t="n">
        <v>5</v>
      </c>
      <c r="C59" s="2" t="n">
        <v>1</v>
      </c>
      <c r="D59" s="6" t="n">
        <f aca="false">IFERROR(XIRR(flows!$C$294:$C$298,flows!$B$294:$B$298),"NUM")</f>
        <v>-0.539889246722872</v>
      </c>
      <c r="E59" s="7" t="n">
        <f aca="false">IF(ISNUMBER(D59),IFERROR(XNPV(D59,flows!$C$294:$C$298,flows!$B$294:$B$298),"ERR"),"")</f>
        <v>-7.27595761418343E-012</v>
      </c>
    </row>
    <row r="60" customFormat="false" ht="15" hidden="false" customHeight="false" outlineLevel="0" collapsed="false">
      <c r="A60" s="2" t="s">
        <v>75</v>
      </c>
      <c r="B60" s="2" t="n">
        <v>8</v>
      </c>
      <c r="C60" s="2" t="n">
        <v>3</v>
      </c>
      <c r="D60" s="6" t="n">
        <f aca="false">IFERROR(XIRR(flows!$C$299:$C$306,flows!$B$299:$B$306),"NUM")</f>
        <v>-0.15416821914011</v>
      </c>
      <c r="E60" s="7" t="n">
        <f aca="false">IF(ISNUMBER(D60),IFERROR(XNPV(D60,flows!$C$299:$C$306,flows!$B$299:$B$306),"ERR"),"")</f>
        <v>9.09494701772928E-013</v>
      </c>
    </row>
    <row r="61" customFormat="false" ht="15" hidden="false" customHeight="false" outlineLevel="0" collapsed="false">
      <c r="A61" s="2" t="s">
        <v>76</v>
      </c>
      <c r="B61" s="2" t="n">
        <v>5</v>
      </c>
      <c r="C61" s="2" t="n">
        <v>2</v>
      </c>
      <c r="D61" s="6" t="str">
        <f aca="false">IFERROR(XIRR(flows!$C$307:$C$311,flows!$B$307:$B$311),"NUM")</f>
        <v>NUM</v>
      </c>
      <c r="E61" s="7" t="str">
        <f aca="false">IF(ISNUMBER(D61),IFERROR(XNPV(D61,flows!$C$307:$C$311,flows!$B$307:$B$311),"ERR"),"")</f>
        <v/>
      </c>
    </row>
    <row r="62" customFormat="false" ht="15" hidden="false" customHeight="false" outlineLevel="0" collapsed="false">
      <c r="A62" s="2" t="s">
        <v>77</v>
      </c>
      <c r="B62" s="2" t="n">
        <v>5</v>
      </c>
      <c r="C62" s="2" t="n">
        <v>3</v>
      </c>
      <c r="D62" s="6" t="n">
        <f aca="false">IFERROR(XIRR(flows!$C$312:$C$316,flows!$B$312:$B$316),"NUM")</f>
        <v>0.0500990829157019</v>
      </c>
      <c r="E62" s="7" t="n">
        <f aca="false">IF(ISNUMBER(D62),IFERROR(XNPV(D62,flows!$C$312:$C$316,flows!$B$312:$B$316),"ERR"),"")</f>
        <v>-4.54747350886464E-013</v>
      </c>
    </row>
    <row r="63" customFormat="false" ht="15" hidden="false" customHeight="false" outlineLevel="0" collapsed="false">
      <c r="A63" s="2" t="s">
        <v>78</v>
      </c>
      <c r="B63" s="2" t="n">
        <v>3</v>
      </c>
      <c r="C63" s="2" t="n">
        <v>1</v>
      </c>
      <c r="D63" s="6" t="n">
        <f aca="false">IFERROR(XIRR(flows!$C$317:$C$319,flows!$B$317:$B$319),"NUM")</f>
        <v>-0.56471532446646</v>
      </c>
      <c r="E63" s="7" t="n">
        <f aca="false">IF(ISNUMBER(D63),IFERROR(XNPV(D63,flows!$C$317:$C$319,flows!$B$317:$B$319),"ERR"),"")</f>
        <v>0</v>
      </c>
    </row>
    <row r="64" customFormat="false" ht="15" hidden="false" customHeight="false" outlineLevel="0" collapsed="false">
      <c r="A64" s="2" t="s">
        <v>79</v>
      </c>
      <c r="B64" s="2" t="n">
        <v>4</v>
      </c>
      <c r="C64" s="2" t="n">
        <v>2</v>
      </c>
      <c r="D64" s="6" t="str">
        <f aca="false">IFERROR(XIRR(flows!$C$320:$C$323,flows!$B$320:$B$323),"NUM")</f>
        <v>NUM</v>
      </c>
      <c r="E64" s="7" t="str">
        <f aca="false">IF(ISNUMBER(D64),IFERROR(XNPV(D64,flows!$C$320:$C$323,flows!$B$320:$B$323),"ERR"),"")</f>
        <v/>
      </c>
    </row>
    <row r="65" customFormat="false" ht="15" hidden="false" customHeight="false" outlineLevel="0" collapsed="false">
      <c r="A65" s="2" t="s">
        <v>80</v>
      </c>
      <c r="B65" s="2" t="n">
        <v>6</v>
      </c>
      <c r="C65" s="2" t="n">
        <v>3</v>
      </c>
      <c r="D65" s="6" t="n">
        <f aca="false">IFERROR(XIRR(flows!$C$324:$C$329,flows!$B$324:$B$329),"NUM")</f>
        <v>-0.400011081298135</v>
      </c>
      <c r="E65" s="7" t="n">
        <f aca="false">IF(ISNUMBER(D65),IFERROR(XNPV(D65,flows!$C$324:$C$329,flows!$B$324:$B$329),"ERR"),"")</f>
        <v>-1.81898940354586E-012</v>
      </c>
    </row>
    <row r="66" customFormat="false" ht="15" hidden="false" customHeight="false" outlineLevel="0" collapsed="false">
      <c r="A66" s="2" t="s">
        <v>81</v>
      </c>
      <c r="B66" s="2" t="n">
        <v>5</v>
      </c>
      <c r="C66" s="2" t="n">
        <v>2</v>
      </c>
      <c r="D66" s="6" t="n">
        <f aca="false">IFERROR(XIRR(flows!$C$330:$C$334,flows!$B$330:$B$334),"NUM")</f>
        <v>-0.00518595530545523</v>
      </c>
      <c r="E66" s="7" t="n">
        <f aca="false">IF(ISNUMBER(D66),IFERROR(XNPV(D66,flows!$C$330:$C$334,flows!$B$330:$B$334),"ERR"),"")</f>
        <v>-9.09494701772928E-013</v>
      </c>
    </row>
    <row r="67" customFormat="false" ht="15" hidden="false" customHeight="false" outlineLevel="0" collapsed="false">
      <c r="A67" s="2" t="s">
        <v>82</v>
      </c>
      <c r="B67" s="2" t="n">
        <v>4</v>
      </c>
      <c r="C67" s="2" t="n">
        <v>3</v>
      </c>
      <c r="D67" s="6" t="n">
        <f aca="false">IFERROR(XIRR(flows!$C$335:$C$338,flows!$B$335:$B$338),"NUM")</f>
        <v>-0.468769569962088</v>
      </c>
      <c r="E67" s="7" t="n">
        <f aca="false">IF(ISNUMBER(D67),IFERROR(XNPV(D67,flows!$C$335:$C$338,flows!$B$335:$B$338),"ERR"),"")</f>
        <v>1.81898940354586E-012</v>
      </c>
    </row>
    <row r="68" customFormat="false" ht="15" hidden="false" customHeight="false" outlineLevel="0" collapsed="false">
      <c r="A68" s="2" t="s">
        <v>83</v>
      </c>
      <c r="B68" s="2" t="n">
        <v>6</v>
      </c>
      <c r="C68" s="2" t="n">
        <v>2</v>
      </c>
      <c r="D68" s="6" t="str">
        <f aca="false">IFERROR(XIRR(flows!$C$339:$C$344,flows!$B$339:$B$344),"NUM")</f>
        <v>NUM</v>
      </c>
      <c r="E68" s="7" t="str">
        <f aca="false">IF(ISNUMBER(D68),IFERROR(XNPV(D68,flows!$C$339:$C$344,flows!$B$339:$B$344),"ERR"),"")</f>
        <v/>
      </c>
    </row>
    <row r="69" customFormat="false" ht="15" hidden="false" customHeight="false" outlineLevel="0" collapsed="false">
      <c r="A69" s="2" t="s">
        <v>84</v>
      </c>
      <c r="B69" s="2" t="n">
        <v>7</v>
      </c>
      <c r="C69" s="2" t="n">
        <v>1</v>
      </c>
      <c r="D69" s="6" t="n">
        <f aca="false">IFERROR(XIRR(flows!$C$345:$C$351,flows!$B$345:$B$351),"NUM")</f>
        <v>-0.241722850064926</v>
      </c>
      <c r="E69" s="7" t="n">
        <f aca="false">IF(ISNUMBER(D69),IFERROR(XNPV(D69,flows!$C$345:$C$351,flows!$B$345:$B$351),"ERR"),"")</f>
        <v>3.63797880709171E-012</v>
      </c>
    </row>
    <row r="70" customFormat="false" ht="15" hidden="false" customHeight="false" outlineLevel="0" collapsed="false">
      <c r="A70" s="2" t="s">
        <v>85</v>
      </c>
      <c r="B70" s="2" t="n">
        <v>3</v>
      </c>
      <c r="C70" s="2" t="n">
        <v>2</v>
      </c>
      <c r="D70" s="6" t="n">
        <f aca="false">IFERROR(XIRR(flows!$C$352:$C$354,flows!$B$352:$B$354),"NUM")</f>
        <v>0.022130312008076</v>
      </c>
      <c r="E70" s="7" t="n">
        <f aca="false">IF(ISNUMBER(D70),IFERROR(XNPV(D70,flows!$C$352:$C$354,flows!$B$352:$B$354),"ERR"),"")</f>
        <v>0</v>
      </c>
    </row>
    <row r="71" customFormat="false" ht="15" hidden="false" customHeight="false" outlineLevel="0" collapsed="false">
      <c r="A71" s="2" t="s">
        <v>86</v>
      </c>
      <c r="B71" s="2" t="n">
        <v>5</v>
      </c>
      <c r="C71" s="2" t="n">
        <v>2</v>
      </c>
      <c r="D71" s="6" t="str">
        <f aca="false">IFERROR(XIRR(flows!$C$355:$C$359,flows!$B$355:$B$359),"NUM")</f>
        <v>NUM</v>
      </c>
      <c r="E71" s="7" t="str">
        <f aca="false">IF(ISNUMBER(D71),IFERROR(XNPV(D71,flows!$C$355:$C$359,flows!$B$355:$B$359),"ERR"),"")</f>
        <v/>
      </c>
    </row>
    <row r="72" customFormat="false" ht="15" hidden="false" customHeight="false" outlineLevel="0" collapsed="false">
      <c r="A72" s="2" t="s">
        <v>87</v>
      </c>
      <c r="B72" s="2" t="n">
        <v>7</v>
      </c>
      <c r="C72" s="2" t="n">
        <v>2</v>
      </c>
      <c r="D72" s="6" t="n">
        <f aca="false">IFERROR(XIRR(flows!$C$360:$C$366,flows!$B$360:$B$366),"NUM")</f>
        <v>-0.137702196890498</v>
      </c>
      <c r="E72" s="7" t="n">
        <f aca="false">IF(ISNUMBER(D72),IFERROR(XNPV(D72,flows!$C$360:$C$366,flows!$B$360:$B$366),"ERR"),"")</f>
        <v>4.54747350886464E-013</v>
      </c>
    </row>
    <row r="73" customFormat="false" ht="15" hidden="false" customHeight="false" outlineLevel="0" collapsed="false">
      <c r="A73" s="2" t="s">
        <v>88</v>
      </c>
      <c r="B73" s="2" t="n">
        <v>7</v>
      </c>
      <c r="C73" s="2" t="n">
        <v>3</v>
      </c>
      <c r="D73" s="6" t="n">
        <f aca="false">IFERROR(XIRR(flows!$C$367:$C$373,flows!$B$367:$B$373),"NUM")</f>
        <v>-0.705341094576022</v>
      </c>
      <c r="E73" s="7" t="n">
        <f aca="false">IF(ISNUMBER(D73),IFERROR(XNPV(D73,flows!$C$367:$C$373,flows!$B$367:$B$373),"ERR"),"")</f>
        <v>1.16415321826935E-010</v>
      </c>
    </row>
    <row r="74" customFormat="false" ht="15" hidden="false" customHeight="false" outlineLevel="0" collapsed="false">
      <c r="A74" s="2" t="s">
        <v>89</v>
      </c>
      <c r="B74" s="2" t="n">
        <v>6</v>
      </c>
      <c r="C74" s="2" t="n">
        <v>3</v>
      </c>
      <c r="D74" s="6" t="n">
        <f aca="false">IFERROR(XIRR(flows!$C$374:$C$379,flows!$B$374:$B$379),"NUM")</f>
        <v>-0.99883984123764</v>
      </c>
      <c r="E74" s="7" t="n">
        <f aca="false">IF(ISNUMBER(D74),IFERROR(XNPV(D74,flows!$C$374:$C$379,flows!$B$374:$B$379),"ERR"),"")</f>
        <v>-1.015625</v>
      </c>
    </row>
    <row r="75" customFormat="false" ht="15" hidden="false" customHeight="false" outlineLevel="0" collapsed="false">
      <c r="A75" s="2" t="s">
        <v>90</v>
      </c>
      <c r="B75" s="2" t="n">
        <v>6</v>
      </c>
      <c r="C75" s="2" t="n">
        <v>1</v>
      </c>
      <c r="D75" s="6" t="n">
        <f aca="false">IFERROR(XIRR(flows!$C$380:$C$385,flows!$B$380:$B$385),"NUM")</f>
        <v>2.94295530557637</v>
      </c>
      <c r="E75" s="7" t="n">
        <f aca="false">IF(ISNUMBER(D75),IFERROR(XNPV(D75,flows!$C$380:$C$385,flows!$B$380:$B$385),"ERR"),"")</f>
        <v>-1.31450406115619E-013</v>
      </c>
    </row>
    <row r="76" customFormat="false" ht="15" hidden="false" customHeight="false" outlineLevel="0" collapsed="false">
      <c r="A76" s="2" t="s">
        <v>91</v>
      </c>
      <c r="B76" s="2" t="n">
        <v>7</v>
      </c>
      <c r="C76" s="2" t="n">
        <v>2</v>
      </c>
      <c r="D76" s="6" t="str">
        <f aca="false">IFERROR(XIRR(flows!$C$386:$C$392,flows!$B$386:$B$392),"NUM")</f>
        <v>NUM</v>
      </c>
      <c r="E76" s="7" t="str">
        <f aca="false">IF(ISNUMBER(D76),IFERROR(XNPV(D76,flows!$C$386:$C$392,flows!$B$386:$B$392),"ERR"),"")</f>
        <v/>
      </c>
    </row>
    <row r="77" customFormat="false" ht="15" hidden="false" customHeight="false" outlineLevel="0" collapsed="false">
      <c r="A77" s="2" t="s">
        <v>92</v>
      </c>
      <c r="B77" s="2" t="n">
        <v>7</v>
      </c>
      <c r="C77" s="2" t="n">
        <v>4</v>
      </c>
      <c r="D77" s="6" t="n">
        <f aca="false">IFERROR(XIRR(flows!$C$393:$C$399,flows!$B$393:$B$399),"NUM")</f>
        <v>0.324521697773849</v>
      </c>
      <c r="E77" s="7" t="n">
        <f aca="false">IF(ISNUMBER(D77),IFERROR(XNPV(D77,flows!$C$393:$C$399,flows!$B$393:$B$399),"ERR"),"")</f>
        <v>6.82121026329696E-013</v>
      </c>
    </row>
    <row r="78" customFormat="false" ht="15" hidden="false" customHeight="false" outlineLevel="0" collapsed="false">
      <c r="A78" s="2" t="s">
        <v>93</v>
      </c>
      <c r="B78" s="2" t="n">
        <v>3</v>
      </c>
      <c r="C78" s="2" t="n">
        <v>1</v>
      </c>
      <c r="D78" s="6" t="n">
        <f aca="false">IFERROR(XIRR(flows!$C$400:$C$402,flows!$B$400:$B$402),"NUM")</f>
        <v>-0.55696118224409</v>
      </c>
      <c r="E78" s="7" t="n">
        <f aca="false">IF(ISNUMBER(D78),IFERROR(XNPV(D78,flows!$C$400:$C$402,flows!$B$400:$B$402),"ERR"),"")</f>
        <v>0</v>
      </c>
    </row>
    <row r="79" customFormat="false" ht="15" hidden="false" customHeight="false" outlineLevel="0" collapsed="false">
      <c r="A79" s="2" t="s">
        <v>94</v>
      </c>
      <c r="B79" s="2" t="n">
        <v>5</v>
      </c>
      <c r="C79" s="2" t="n">
        <v>2</v>
      </c>
      <c r="D79" s="6" t="str">
        <f aca="false">IFERROR(XIRR(flows!$C$403:$C$407,flows!$B$403:$B$407),"NUM")</f>
        <v>NUM</v>
      </c>
      <c r="E79" s="7" t="str">
        <f aca="false">IF(ISNUMBER(D79),IFERROR(XNPV(D79,flows!$C$403:$C$407,flows!$B$403:$B$407),"ERR"),"")</f>
        <v/>
      </c>
    </row>
    <row r="80" customFormat="false" ht="15" hidden="false" customHeight="false" outlineLevel="0" collapsed="false">
      <c r="A80" s="2" t="s">
        <v>95</v>
      </c>
      <c r="B80" s="2" t="n">
        <v>8</v>
      </c>
      <c r="C80" s="2" t="n">
        <v>1</v>
      </c>
      <c r="D80" s="6" t="n">
        <f aca="false">IFERROR(XIRR(flows!$C$408:$C$415,flows!$B$408:$B$415),"NUM")</f>
        <v>-0.814177830172234</v>
      </c>
      <c r="E80" s="7" t="n">
        <f aca="false">IF(ISNUMBER(D80),IFERROR(XNPV(D80,flows!$C$408:$C$415,flows!$B$408:$B$415),"ERR"),"")</f>
        <v>3.72529029846191E-009</v>
      </c>
    </row>
    <row r="81" customFormat="false" ht="15" hidden="false" customHeight="false" outlineLevel="0" collapsed="false">
      <c r="A81" s="2" t="s">
        <v>96</v>
      </c>
      <c r="B81" s="2" t="n">
        <v>5</v>
      </c>
      <c r="C81" s="2" t="n">
        <v>2</v>
      </c>
      <c r="D81" s="6" t="str">
        <f aca="false">IFERROR(XIRR(flows!$C$416:$C$420,flows!$B$416:$B$420),"NUM")</f>
        <v>NUM</v>
      </c>
      <c r="E81" s="7" t="str">
        <f aca="false">IF(ISNUMBER(D81),IFERROR(XNPV(D81,flows!$C$416:$C$420,flows!$B$416:$B$420),"ERR"),"")</f>
        <v/>
      </c>
    </row>
    <row r="82" customFormat="false" ht="15" hidden="false" customHeight="false" outlineLevel="0" collapsed="false">
      <c r="A82" s="2" t="s">
        <v>97</v>
      </c>
      <c r="B82" s="2" t="n">
        <v>7</v>
      </c>
      <c r="C82" s="2" t="n">
        <v>2</v>
      </c>
      <c r="D82" s="6" t="str">
        <f aca="false">IFERROR(XIRR(flows!$C$421:$C$427,flows!$B$421:$B$427),"NUM")</f>
        <v>NUM</v>
      </c>
      <c r="E82" s="7" t="str">
        <f aca="false">IF(ISNUMBER(D82),IFERROR(XNPV(D82,flows!$C$421:$C$427,flows!$B$421:$B$427),"ERR"),"")</f>
        <v/>
      </c>
    </row>
    <row r="83" customFormat="false" ht="15" hidden="false" customHeight="false" outlineLevel="0" collapsed="false">
      <c r="A83" s="2" t="s">
        <v>98</v>
      </c>
      <c r="B83" s="2" t="n">
        <v>7</v>
      </c>
      <c r="C83" s="2" t="n">
        <v>1</v>
      </c>
      <c r="D83" s="6" t="n">
        <f aca="false">IFERROR(XIRR(flows!$C$428:$C$434,flows!$B$428:$B$434),"NUM")</f>
        <v>-0.185478885819653</v>
      </c>
      <c r="E83" s="7" t="n">
        <f aca="false">IF(ISNUMBER(D83),IFERROR(XNPV(D83,flows!$C$428:$C$434,flows!$B$428:$B$434),"ERR"),"")</f>
        <v>-1.81898940354586E-012</v>
      </c>
    </row>
    <row r="84" customFormat="false" ht="15" hidden="false" customHeight="false" outlineLevel="0" collapsed="false">
      <c r="A84" s="2" t="s">
        <v>99</v>
      </c>
      <c r="B84" s="2" t="n">
        <v>7</v>
      </c>
      <c r="C84" s="2" t="n">
        <v>3</v>
      </c>
      <c r="D84" s="6" t="n">
        <f aca="false">IFERROR(XIRR(flows!$C$435:$C$441,flows!$B$435:$B$441),"NUM")</f>
        <v>-0.544155988732245</v>
      </c>
      <c r="E84" s="7" t="n">
        <f aca="false">IF(ISNUMBER(D84),IFERROR(XNPV(D84,flows!$C$435:$C$441,flows!$B$435:$B$441),"ERR"),"")</f>
        <v>5.45696821063757E-012</v>
      </c>
    </row>
    <row r="85" customFormat="false" ht="15" hidden="false" customHeight="false" outlineLevel="0" collapsed="false">
      <c r="A85" s="2" t="s">
        <v>100</v>
      </c>
      <c r="B85" s="2" t="n">
        <v>8</v>
      </c>
      <c r="C85" s="2" t="n">
        <v>4</v>
      </c>
      <c r="D85" s="6" t="str">
        <f aca="false">IFERROR(XIRR(flows!$C$442:$C$449,flows!$B$442:$B$449),"NUM")</f>
        <v>NUM</v>
      </c>
      <c r="E85" s="7" t="str">
        <f aca="false">IF(ISNUMBER(D85),IFERROR(XNPV(D85,flows!$C$442:$C$449,flows!$B$442:$B$449),"ERR"),"")</f>
        <v/>
      </c>
    </row>
    <row r="86" customFormat="false" ht="15" hidden="false" customHeight="false" outlineLevel="0" collapsed="false">
      <c r="A86" s="2" t="s">
        <v>101</v>
      </c>
      <c r="B86" s="2" t="n">
        <v>8</v>
      </c>
      <c r="C86" s="2" t="n">
        <v>3</v>
      </c>
      <c r="D86" s="6" t="n">
        <f aca="false">IFERROR(XIRR(flows!$C$450:$C$457,flows!$B$450:$B$457),"NUM")</f>
        <v>-0.825291452630582</v>
      </c>
      <c r="E86" s="7" t="n">
        <f aca="false">IF(ISNUMBER(D86),IFERROR(XNPV(D86,flows!$C$450:$C$457,flows!$B$450:$B$457),"ERR"),"")</f>
        <v>-4.65661287307739E-010</v>
      </c>
    </row>
    <row r="87" customFormat="false" ht="15" hidden="false" customHeight="false" outlineLevel="0" collapsed="false">
      <c r="A87" s="2" t="s">
        <v>102</v>
      </c>
      <c r="B87" s="2" t="n">
        <v>8</v>
      </c>
      <c r="C87" s="2" t="n">
        <v>2</v>
      </c>
      <c r="D87" s="6" t="str">
        <f aca="false">IFERROR(XIRR(flows!$C$458:$C$465,flows!$B$458:$B$465),"NUM")</f>
        <v>NUM</v>
      </c>
      <c r="E87" s="7" t="str">
        <f aca="false">IF(ISNUMBER(D87),IFERROR(XNPV(D87,flows!$C$458:$C$465,flows!$B$458:$B$465),"ERR"),"")</f>
        <v/>
      </c>
    </row>
    <row r="88" customFormat="false" ht="15" hidden="false" customHeight="false" outlineLevel="0" collapsed="false">
      <c r="A88" s="2" t="s">
        <v>103</v>
      </c>
      <c r="B88" s="2" t="n">
        <v>3</v>
      </c>
      <c r="C88" s="2" t="n">
        <v>2</v>
      </c>
      <c r="D88" s="6" t="str">
        <f aca="false">IFERROR(XIRR(flows!$C$466:$C$468,flows!$B$466:$B$468),"NUM")</f>
        <v>NUM</v>
      </c>
      <c r="E88" s="7" t="str">
        <f aca="false">IF(ISNUMBER(D88),IFERROR(XNPV(D88,flows!$C$466:$C$468,flows!$B$466:$B$468),"ERR"),"")</f>
        <v/>
      </c>
    </row>
    <row r="89" customFormat="false" ht="15" hidden="false" customHeight="false" outlineLevel="0" collapsed="false">
      <c r="A89" s="2" t="s">
        <v>104</v>
      </c>
      <c r="B89" s="2" t="n">
        <v>6</v>
      </c>
      <c r="C89" s="2" t="n">
        <v>4</v>
      </c>
      <c r="D89" s="6" t="str">
        <f aca="false">IFERROR(XIRR(flows!$C$469:$C$474,flows!$B$469:$B$474),"NUM")</f>
        <v>NUM</v>
      </c>
      <c r="E89" s="7" t="str">
        <f aca="false">IF(ISNUMBER(D89),IFERROR(XNPV(D89,flows!$C$469:$C$474,flows!$B$469:$B$474),"ERR"),"")</f>
        <v/>
      </c>
    </row>
    <row r="90" customFormat="false" ht="15" hidden="false" customHeight="false" outlineLevel="0" collapsed="false">
      <c r="A90" s="2" t="s">
        <v>105</v>
      </c>
      <c r="B90" s="2" t="n">
        <v>7</v>
      </c>
      <c r="C90" s="2" t="n">
        <v>3</v>
      </c>
      <c r="D90" s="6" t="n">
        <f aca="false">IFERROR(XIRR(flows!$C$475:$C$481,flows!$B$475:$B$481),"NUM")</f>
        <v>0.284293666428573</v>
      </c>
      <c r="E90" s="7" t="n">
        <f aca="false">IF(ISNUMBER(D90),IFERROR(XNPV(D90,flows!$C$475:$C$481,flows!$B$475:$B$481),"ERR"),"")</f>
        <v>4.54747350886464E-013</v>
      </c>
    </row>
    <row r="92" customFormat="false" ht="15" hidden="false" customHeight="false" outlineLevel="0" collapsed="false">
      <c r="A92" s="8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2026-08-03T23:57:04Z</dcterms:created>
  <dc:creator>openpyxl</dc:creator>
  <dc:description/>
  <dc:language>en-US</dc:language>
  <cp:lastModifiedBy/>
  <dcterms:modified xsi:type="dcterms:W3CDTF">2026-08-03T23:57:04Z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